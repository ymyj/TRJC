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Sheet1!$A$2:$AA$17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<sst xmlns="http://schemas.openxmlformats.org/spreadsheetml/2006/main" count="403" uniqueCount="100">
  <si>
    <t>耕 地 质 量 调 查 样点数据集</t>
  </si>
  <si>
    <t>项目名称</t>
  </si>
  <si>
    <t>样点编号</t>
  </si>
  <si>
    <t>经度</t>
  </si>
  <si>
    <t>纬度</t>
  </si>
  <si>
    <t>地形部位</t>
  </si>
  <si>
    <t>有效土
层厚度
(cm)</t>
  </si>
  <si>
    <t>耕层质地</t>
  </si>
  <si>
    <t>容重
(g/cm)</t>
  </si>
  <si>
    <t>质地构型</t>
  </si>
  <si>
    <t>生物
多样性</t>
  </si>
  <si>
    <t>农田
林网化
程度</t>
  </si>
  <si>
    <t>障碍因素</t>
  </si>
  <si>
    <t>灌溉能力</t>
  </si>
  <si>
    <t>排水能力</t>
  </si>
  <si>
    <t>pH值</t>
  </si>
  <si>
    <t>有机质
(g/kg)</t>
  </si>
  <si>
    <t>有效磷
(mg/kg)</t>
  </si>
  <si>
    <t>速效钾
(mg/kg)</t>
  </si>
  <si>
    <t>水溶性盐总量
(g/kg)</t>
  </si>
  <si>
    <t>地类名称</t>
  </si>
  <si>
    <t>清洁程度</t>
  </si>
  <si>
    <t>备注</t>
  </si>
  <si>
    <t>镉
(mg/kg)</t>
  </si>
  <si>
    <t>总汞
(mg/kg)</t>
  </si>
  <si>
    <t>总砷
(mg/kg)</t>
  </si>
  <si>
    <t>铅
(mg/kg)</t>
  </si>
  <si>
    <t>铬
(mg/kg)</t>
  </si>
  <si>
    <t>耕地质量等级</t>
  </si>
  <si>
    <t>质量分级</t>
  </si>
  <si>
    <t>2026年余姚市黄家埠镇高标准农田建设项目</t>
  </si>
  <si>
    <t>1#</t>
  </si>
  <si>
    <t>丘陵下部</t>
  </si>
  <si>
    <t>中壤土</t>
  </si>
  <si>
    <t>上松下紧型</t>
  </si>
  <si>
    <t>一般</t>
  </si>
  <si>
    <t>中</t>
  </si>
  <si>
    <t>无</t>
  </si>
  <si>
    <t>基本满足</t>
  </si>
  <si>
    <t>满足</t>
  </si>
  <si>
    <t>旱地</t>
  </si>
  <si>
    <t>清洁</t>
  </si>
  <si>
    <t>2#</t>
  </si>
  <si>
    <t>平原低阶</t>
  </si>
  <si>
    <t>丰富</t>
  </si>
  <si>
    <t>7.9（7.5</t>
  </si>
  <si>
    <t>3#</t>
  </si>
  <si>
    <t>轻壤土</t>
  </si>
  <si>
    <t>夹层型</t>
  </si>
  <si>
    <t>4#</t>
  </si>
  <si>
    <t>水田</t>
  </si>
  <si>
    <t>5#</t>
  </si>
  <si>
    <t>11.9（20</t>
  </si>
  <si>
    <t>6#</t>
  </si>
  <si>
    <t>8.09（7.6</t>
  </si>
  <si>
    <t>13（20</t>
  </si>
  <si>
    <t>7#</t>
  </si>
  <si>
    <t>14.7（20</t>
  </si>
  <si>
    <t>8#</t>
  </si>
  <si>
    <t>9#</t>
  </si>
  <si>
    <t>19.3（20）</t>
  </si>
  <si>
    <t>10#</t>
  </si>
  <si>
    <t>11#</t>
  </si>
  <si>
    <t>12#</t>
  </si>
  <si>
    <t>13#</t>
  </si>
  <si>
    <t>14#</t>
  </si>
  <si>
    <t>*填报说明：
1)经纬度：根据GPS定位仪或图上拾取点坐标填写，保留小数点后五位，填报时统一转 换为2000国家大地坐标系。
2)地形部位：指中小地貌单元，填写山间盆地、宽谷盆地、平原低阶、平原中阶、平 原高阶、丘陵上部、丘陵中部、丘陵下部、山地坡上、山地坡中、山地坡下。
3)有效土层厚度：作物能够利用的母质层以上的土体厚度；当有障碍层时，为障碍层 以上的土层厚度。单位 cm, 取整数。需要通过实地打土钻或挖掘剖面测量。
4)耕层质地：填写砂土、砂壤、轻壤、中壤、重壤、黏土。根据机械组成测定结果判定。 野外可通过指感法初步判定。
5)质地构型：按1m土体内不同质地土层排列组合形式填写，分为薄层型、松散型、紧 实型、夹层型、上紧下松型、上松下紧型、海绵型。需要通过实地打土钻或挖掘剖面诊 断。
6)灌溉能力：填写充分满足、满足、基本满足、不满足。可参考对应抗旱能力：&gt;70天、 50—70天、30—50天、30天以下。
7)排水能力：填写充分满足、满足、基本满足、不满足。可参考对应排涝能力：一日暴 雨一 日排出、一 日暴雨二日排出、一 日暴雨三日排出、一 日暴雨三日以上排出。
8)生物多样性：常年种植的水田为丰富、旱地为一般，其他情形视情填报。
9)农田林网化程度：参照项目区所在周边农田林网布局，填写高、中或低。
10)障碍因素：填写瘠薄、渍潜、酸化、盐碱、障碍层次或无。
11)清洁程度：填写清洁、尚清洁、不清洁。分别对应低于风险筛选值、风险筛选值与 风险管制值之间、高于风险管制值。其中落在严格管控类内的地块不允许作为高标准农 田(储备区)入库。
12)容重(g/cm³)、pH、有机质(g/kg)、有效磷(mg/kg)、速效钾(mg/kg)为检测数据，根 据实际检测结果填写。</t>
  </si>
  <si>
    <t>任务名称</t>
  </si>
  <si>
    <t>图斑编号</t>
  </si>
  <si>
    <t>采样日期</t>
  </si>
  <si>
    <t>三等</t>
  </si>
  <si>
    <t>面积 (m²)</t>
  </si>
  <si>
    <t>地理位置</t>
  </si>
  <si>
    <t>市 (州)            县 (市、区)            乡 (镇、街道) 村</t>
  </si>
  <si>
    <t>地理坐标</t>
  </si>
  <si>
    <t>经度：                       纬度：</t>
  </si>
  <si>
    <t>变更前土地利用类型</t>
  </si>
  <si>
    <t>变更时间</t>
  </si>
  <si>
    <t>利用类型</t>
  </si>
  <si>
    <t>有效土层厚度 (cm)</t>
  </si>
  <si>
    <t xml:space="preserve"> </t>
  </si>
  <si>
    <t>侵入体类型及含量 (%)</t>
  </si>
  <si>
    <t>砾石含量 (%)</t>
  </si>
  <si>
    <t>地形坡度 (°)</t>
  </si>
  <si>
    <t>田面平整程度</t>
  </si>
  <si>
    <t>水资源保障条件</t>
  </si>
  <si>
    <t>道路通行条件</t>
  </si>
  <si>
    <t>海拔高度 (m)</t>
  </si>
  <si>
    <t>农田防护与生态环境保护水平</t>
  </si>
  <si>
    <t>耕层厚度 (cm)</t>
  </si>
  <si>
    <t>勘察日期</t>
  </si>
  <si>
    <t>调查人员 (签字)</t>
  </si>
  <si>
    <t>项目承担单位代表 (签字)</t>
  </si>
  <si>
    <t>踏勘专家 (签字)</t>
  </si>
  <si>
    <t>土壤混合样品编号</t>
  </si>
  <si>
    <t>TB2024001</t>
  </si>
  <si>
    <t>采样深度 (cm)</t>
  </si>
  <si>
    <t>采样点位数量 (个)</t>
  </si>
  <si>
    <t>混合样品重量 (g)</t>
  </si>
  <si>
    <t>采样人员 (签字)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</si>
</sst>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);[Red]\(0.0\)"/>
    <numFmt numFmtId="178" formatCode="0.0_ "/>
    <numFmt numFmtId="179" formatCode="0.000_ "/>
    <numFmt numFmtId="180" formatCode="0_ "/>
    <numFmt numFmtId="181" formatCode="0.0000_ "/>
  </numFmts>
  <fonts count="34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b/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0"/>
      <name val="SimSun"/>
      <charset val="134"/>
    </font>
    <font>
      <sz val="10.5"/>
      <color theme="1"/>
      <name val="宋体"/>
      <charset val="134"/>
    </font>
    <font>
      <sz val="11"/>
      <color rgb="FFFF0000"/>
      <name val="宋体"/>
      <charset val="134"/>
    </font>
    <font>
      <sz val="10.5"/>
      <name val="宋体"/>
      <charset val="134"/>
    </font>
    <font>
      <sz val="11"/>
      <color rgb="FFFF0000"/>
      <name val="等线"/>
      <charset val="134"/>
      <scheme val="minor"/>
    </font>
    <font>
      <sz val="12"/>
      <color rgb="FF1C1F23"/>
      <name val="Segoe UI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22" applyNumberFormat="0" applyAlignment="0" applyProtection="0">
      <alignment vertical="center"/>
    </xf>
    <xf numFmtId="0" fontId="23" fillId="13" borderId="23" applyNumberFormat="0" applyAlignment="0" applyProtection="0">
      <alignment vertical="center"/>
    </xf>
    <xf numFmtId="0" fontId="24" fillId="13" borderId="22" applyNumberFormat="0" applyAlignment="0" applyProtection="0">
      <alignment vertical="center"/>
    </xf>
    <xf numFmtId="0" fontId="25" fillId="14" borderId="24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>
      <alignment vertical="center"/>
    </xf>
    <xf numFmtId="0" fontId="0" fillId="2" borderId="6" xfId="0" applyFill="1" applyBorder="1">
      <alignment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 applyProtection="1">
      <alignment horizontal="center"/>
    </xf>
    <xf numFmtId="0" fontId="0" fillId="4" borderId="6" xfId="0" applyFill="1" applyBorder="1" applyAlignment="1">
      <alignment horizontal="center" vertical="center"/>
    </xf>
    <xf numFmtId="14" fontId="3" fillId="3" borderId="6" xfId="0" applyNumberFormat="1" applyFont="1" applyFill="1" applyBorder="1" applyAlignment="1">
      <alignment horizontal="center" vertical="center"/>
    </xf>
    <xf numFmtId="176" fontId="6" fillId="5" borderId="6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8" fillId="0" borderId="6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177" fontId="9" fillId="8" borderId="11" xfId="0" applyNumberFormat="1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177" fontId="4" fillId="8" borderId="6" xfId="0" applyNumberFormat="1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76" fontId="6" fillId="9" borderId="14" xfId="0" applyNumberFormat="1" applyFont="1" applyFill="1" applyBorder="1" applyAlignment="1">
      <alignment horizontal="center" vertical="center" wrapText="1"/>
    </xf>
    <xf numFmtId="178" fontId="6" fillId="9" borderId="15" xfId="0" applyNumberFormat="1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76" fontId="6" fillId="9" borderId="17" xfId="0" applyNumberFormat="1" applyFont="1" applyFill="1" applyBorder="1" applyAlignment="1">
      <alignment horizontal="center" vertical="center" wrapText="1"/>
    </xf>
    <xf numFmtId="179" fontId="6" fillId="9" borderId="18" xfId="0" applyNumberFormat="1" applyFont="1" applyFill="1" applyBorder="1" applyAlignment="1">
      <alignment horizontal="center" vertical="center" wrapText="1"/>
    </xf>
    <xf numFmtId="176" fontId="6" fillId="9" borderId="18" xfId="0" applyNumberFormat="1" applyFont="1" applyFill="1" applyBorder="1" applyAlignment="1">
      <alignment horizontal="center" vertical="center" wrapText="1"/>
    </xf>
    <xf numFmtId="178" fontId="6" fillId="9" borderId="18" xfId="0" applyNumberFormat="1" applyFont="1" applyFill="1" applyBorder="1" applyAlignment="1">
      <alignment horizontal="center" vertical="center" wrapText="1"/>
    </xf>
    <xf numFmtId="180" fontId="6" fillId="9" borderId="18" xfId="0" applyNumberFormat="1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181" fontId="0" fillId="0" borderId="0" xfId="0" applyNumberFormat="1">
      <alignment vertical="center"/>
    </xf>
    <xf numFmtId="0" fontId="12" fillId="0" borderId="0" xfId="0" applyFont="1">
      <alignment vertical="center"/>
    </xf>
    <xf numFmtId="0" fontId="0" fillId="0" borderId="0" xfId="0" applyAlignment="1"/>
    <xf numFmtId="0" fontId="13" fillId="0" borderId="0" xfId="0" applyFont="1">
      <alignment vertical="center"/>
    </xf>
    <xf numFmtId="0" fontId="4" fillId="3" borderId="13" xfId="0" applyFont="1" applyFill="1" applyBorder="1" applyAlignment="1">
      <alignment horizontal="center" vertical="center"/>
    </xf>
    <xf numFmtId="176" fontId="6" fillId="10" borderId="17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 applyProtection="1">
      <alignment horizontal="center"/>
    </xf>
    <xf numFmtId="0" fontId="7" fillId="3" borderId="14" xfId="0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178" fontId="6" fillId="10" borderId="18" xfId="0" applyNumberFormat="1" applyFont="1" applyFill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0" xfId="0" applyAlignment="1">
      <alignment horizontal="left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4" xfId="50"/>
    <cellStyle name="常规 5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45"/>
  <sheetViews>
    <sheetView zoomScale="85" zoomScaleNormal="85" topLeftCell="S1" workbookViewId="0">
      <pane ySplit="2" topLeftCell="A3" activePane="bottomLeft" state="frozen"/>
      <selection/>
      <selection pane="bottomLeft" activeCell="AU17" sqref="AU17"/>
    </sheetView>
  </sheetViews>
  <sheetFormatPr defaultColWidth="9" defaultRowHeight="13.85"/>
  <cols>
    <col min="1" max="1" width="42.8761061946903" customWidth="1"/>
    <col min="2" max="2" width="9.24778761061947" customWidth="1"/>
    <col min="3" max="3" width="12.6283185840708" style="23" customWidth="1"/>
    <col min="4" max="4" width="13.8761061946903" style="23" customWidth="1"/>
    <col min="6" max="6" width="7.75221238938053" customWidth="1"/>
    <col min="7" max="7" width="7.3716814159292" customWidth="1"/>
    <col min="8" max="8" width="11.3716814159292" customWidth="1"/>
    <col min="10" max="10" width="11" customWidth="1"/>
    <col min="15" max="15" width="12" customWidth="1"/>
    <col min="16" max="16" width="13.5044247787611" customWidth="1"/>
    <col min="17" max="19" width="8.50442477876106" customWidth="1"/>
    <col min="20" max="20" width="9" customWidth="1"/>
    <col min="21" max="21" width="10.6283185840708" customWidth="1"/>
    <col min="28" max="28" width="12.6283185840708"/>
    <col min="34" max="34" width="12.6283185840708"/>
    <col min="41" max="42" width="12.6283185840708"/>
    <col min="43" max="44" width="14.1238938053097"/>
  </cols>
  <sheetData>
    <row r="1" spans="1:65">
      <c r="A1" s="24" t="s">
        <v>0</v>
      </c>
      <c r="B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ht="40.5" spans="1:65">
      <c r="A2" s="25" t="s">
        <v>1</v>
      </c>
      <c r="B2" s="26" t="s">
        <v>2</v>
      </c>
      <c r="C2" s="27" t="s">
        <v>3</v>
      </c>
      <c r="D2" s="27" t="s">
        <v>4</v>
      </c>
      <c r="E2" s="28" t="s">
        <v>5</v>
      </c>
      <c r="F2" s="29" t="s">
        <v>6</v>
      </c>
      <c r="G2" s="30" t="s">
        <v>7</v>
      </c>
      <c r="H2" s="31" t="s">
        <v>8</v>
      </c>
      <c r="I2" s="30" t="s">
        <v>9</v>
      </c>
      <c r="J2" s="29" t="s">
        <v>10</v>
      </c>
      <c r="K2" s="29" t="s">
        <v>11</v>
      </c>
      <c r="L2" s="30" t="s">
        <v>12</v>
      </c>
      <c r="M2" s="30" t="s">
        <v>13</v>
      </c>
      <c r="N2" s="30" t="s">
        <v>14</v>
      </c>
      <c r="O2" s="32" t="s">
        <v>15</v>
      </c>
      <c r="P2" s="31" t="s">
        <v>16</v>
      </c>
      <c r="Q2" s="31" t="s">
        <v>17</v>
      </c>
      <c r="R2" s="31" t="s">
        <v>18</v>
      </c>
      <c r="S2" s="33" t="s">
        <v>19</v>
      </c>
      <c r="T2" s="34" t="s">
        <v>20</v>
      </c>
      <c r="U2" s="32" t="s">
        <v>21</v>
      </c>
      <c r="V2" s="34" t="s">
        <v>22</v>
      </c>
      <c r="W2" s="31" t="s">
        <v>23</v>
      </c>
      <c r="X2" s="31" t="s">
        <v>24</v>
      </c>
      <c r="Y2" s="31" t="s">
        <v>25</v>
      </c>
      <c r="Z2" s="31" t="s">
        <v>26</v>
      </c>
      <c r="AA2" s="31" t="s">
        <v>27</v>
      </c>
      <c r="AB2" s="35" t="s">
        <v>28</v>
      </c>
      <c r="AC2" s="35" t="s">
        <v>29</v>
      </c>
      <c r="AE2" s="36" t="s">
        <v>5</v>
      </c>
      <c r="AF2" s="37" t="s">
        <v>6</v>
      </c>
      <c r="AG2" s="38" t="s">
        <v>7</v>
      </c>
      <c r="AH2" s="33" t="s">
        <v>8</v>
      </c>
      <c r="AI2" s="38" t="s">
        <v>9</v>
      </c>
      <c r="AJ2" s="37" t="s">
        <v>10</v>
      </c>
      <c r="AK2" s="37" t="s">
        <v>11</v>
      </c>
      <c r="AL2" s="38" t="s">
        <v>12</v>
      </c>
      <c r="AM2" s="38" t="s">
        <v>13</v>
      </c>
      <c r="AN2" s="38" t="s">
        <v>14</v>
      </c>
      <c r="AO2" s="39" t="s">
        <v>15</v>
      </c>
      <c r="AP2" s="40" t="s">
        <v>16</v>
      </c>
      <c r="AQ2" s="33" t="s">
        <v>17</v>
      </c>
      <c r="AR2" s="33" t="s">
        <v>18</v>
      </c>
      <c r="AS2" s="39" t="s">
        <v>21</v>
      </c>
      <c r="AU2" s="41" t="s">
        <v>2</v>
      </c>
      <c r="AV2" s="27" t="s">
        <v>3</v>
      </c>
      <c r="AW2" s="27" t="s">
        <v>4</v>
      </c>
      <c r="AX2" s="36" t="s">
        <v>5</v>
      </c>
      <c r="AY2" s="37" t="s">
        <v>6</v>
      </c>
      <c r="AZ2" s="38" t="s">
        <v>7</v>
      </c>
      <c r="BA2" s="33" t="s">
        <v>8</v>
      </c>
      <c r="BB2" s="38" t="s">
        <v>9</v>
      </c>
      <c r="BC2" s="37" t="s">
        <v>10</v>
      </c>
      <c r="BD2" s="37" t="s">
        <v>11</v>
      </c>
      <c r="BE2" s="38" t="s">
        <v>12</v>
      </c>
      <c r="BF2" s="38" t="s">
        <v>13</v>
      </c>
      <c r="BG2" s="38" t="s">
        <v>14</v>
      </c>
      <c r="BH2" s="39" t="s">
        <v>15</v>
      </c>
      <c r="BI2" s="33" t="s">
        <v>16</v>
      </c>
      <c r="BJ2" s="33" t="s">
        <v>17</v>
      </c>
      <c r="BK2" s="33" t="s">
        <v>18</v>
      </c>
      <c r="BL2" s="39" t="s">
        <v>21</v>
      </c>
      <c r="BM2" s="33" t="s">
        <v>19</v>
      </c>
    </row>
    <row r="3" s="22" customFormat="1" ht="15.95" customHeight="1" spans="1:65">
      <c r="A3" s="16" t="s">
        <v>30</v>
      </c>
      <c r="B3" s="42" t="s">
        <v>31</v>
      </c>
      <c r="C3" s="43">
        <v>120.991551</v>
      </c>
      <c r="D3" s="43">
        <v>30.094283</v>
      </c>
      <c r="E3" s="44" t="s">
        <v>32</v>
      </c>
      <c r="F3" s="12">
        <v>60</v>
      </c>
      <c r="G3" s="12" t="s">
        <v>33</v>
      </c>
      <c r="H3" s="45">
        <v>1.34</v>
      </c>
      <c r="I3" s="13" t="s">
        <v>34</v>
      </c>
      <c r="J3" s="12" t="s">
        <v>35</v>
      </c>
      <c r="K3" s="12" t="s">
        <v>36</v>
      </c>
      <c r="L3" s="12" t="s">
        <v>37</v>
      </c>
      <c r="M3" s="12" t="s">
        <v>38</v>
      </c>
      <c r="N3" s="12" t="s">
        <v>39</v>
      </c>
      <c r="O3" s="45">
        <v>6.39</v>
      </c>
      <c r="P3" s="46">
        <v>30.5</v>
      </c>
      <c r="Q3" s="46">
        <v>29.6</v>
      </c>
      <c r="R3" s="47">
        <v>236</v>
      </c>
      <c r="S3" s="46">
        <v>0.7</v>
      </c>
      <c r="T3" s="48" t="s">
        <v>40</v>
      </c>
      <c r="U3" s="12" t="s">
        <v>41</v>
      </c>
      <c r="V3" s="49"/>
      <c r="W3" s="50">
        <v>0.08</v>
      </c>
      <c r="X3" s="51">
        <v>0.094</v>
      </c>
      <c r="Y3" s="52">
        <v>5.41</v>
      </c>
      <c r="Z3" s="53">
        <v>25.1</v>
      </c>
      <c r="AA3" s="54">
        <v>64</v>
      </c>
      <c r="AB3" s="55">
        <f t="shared" ref="AB3:AB9" si="0">AE3*$AX$3+AF3*$AY$3+AG3*$AZ$3+AH3*$BA$3+AI3*$BB$3+AJ3*$BC$3+AK3*$BD$3+AL3*$BE$3+AM3*$BF$3+AN3*$BG$3+AO3*$BH$3+AP3*$BI$3+AQ3*$BJ$3+AR3*$BK$3+AS3*$BL$3</f>
        <v>0.883351664127476</v>
      </c>
      <c r="AC3" s="55" t="str">
        <f t="array" ref="AC3">_xlfn.IFS(AB3&gt;=0.917,"一等",AB3&gt;=0.8924,"二等",AB3&gt;=0.8678,"三等",AB3&gt;=0.8431,"四等",AB3&gt;=0.8185,"五等",AB3&gt;=0.7939,"六等",AB3&gt;=0.7693,"七等",AB3&gt;=0.7446,"八等",AB3&gt;=0.72,"九等",TRUE,"十等")</f>
        <v>三等</v>
      </c>
      <c r="AD3" s="56">
        <f>ROUND(AB3,4)</f>
        <v>0.8834</v>
      </c>
      <c r="AE3" s="57">
        <f t="array" ref="AE3">_xlfn.IFS(E3="山间盆地",0.8,E3="宽谷盆地",0.95,E3="平原低阶",1,E3="平原中阶",0.95,E3="平原高阶",0.9,E3="丘陵上部",0.6,E3="丘陵中部",0.7,E3="丘陵下部",0.8,E3="山地坡上",0.3,E3="山地坡中",0.45,E3="山地坡下",0.68)</f>
        <v>0.8</v>
      </c>
      <c r="AF3" s="58">
        <f t="array" ref="AF3">_xlfn.IFS(F3&gt;=99,1,F3&lt;=10,0,TRUE,1/(1+0.000205*(F3-99.092342)^2))</f>
        <v>0.761450330306104</v>
      </c>
      <c r="AG3" s="57">
        <f t="array" ref="AG3">_xlfn.IFS(G3="砂土",0.6,G3="砂壤",0.85,G3="轻壤土",0.9,G3="中壤土",1,G3="重壤土",0.95,G3="黏土",0.7)</f>
        <v>1</v>
      </c>
      <c r="AH3" s="58">
        <f t="array" ref="AH3">_xlfn.IFS(H3&gt;=3.21,1,H3&lt;=0.5,0,TRUE,1/(1+2.236726*(H3-1.211674)^2))</f>
        <v>0.96447507977472</v>
      </c>
      <c r="AI3" s="58">
        <f t="array" ref="AI3">_xlfn.IFS(I3="薄层型",0.55,I3="松散型",0.3,I3="紧实型",0.75,I3="夹层型",0.85,I3="上紧下松型",0.4,I3="上松下紧型",1,I3="海绵型",0.95)</f>
        <v>1</v>
      </c>
      <c r="AJ3" s="58">
        <f t="array" ref="AJ3">_xlfn.IFS(J3="丰富",1,J3="一般",0.8,J3="不丰富",0.6)</f>
        <v>0.8</v>
      </c>
      <c r="AK3" s="58">
        <f t="array" ref="AK3">_xlfn.IFS(K3="高",1,K3="中",0.85,K3="低",0.7)</f>
        <v>0.85</v>
      </c>
      <c r="AL3" s="58">
        <f t="array" ref="AL3">_xlfn.IFS(L3="盐碱",0.5,L3="瘠薄",0.65,L3="酸化",0.7,L3="渍潜",0.55,L3="障碍层次",0.6,L3="无",1)</f>
        <v>1</v>
      </c>
      <c r="AM3" s="58">
        <f t="array" ref="AM3">_xlfn.IFS(M3="充分满足",1,M3="满足",0.8,M3="基本满足",0.6,M3="不满足",0.3)</f>
        <v>0.6</v>
      </c>
      <c r="AN3" s="58">
        <f t="array" ref="AN3">_xlfn.IFS(N3="充分满足",1,N3="满足",0.8,N3="基本满足",0.6,N3="不满足",0.3)</f>
        <v>0.8</v>
      </c>
      <c r="AO3">
        <f t="shared" ref="AO3:AO9" si="1">(1/(1+0.221129*(O3-6.811204)^2))</f>
        <v>0.962249862875427</v>
      </c>
      <c r="AP3" s="58" cm="1">
        <f t="array" ref="AP3">_xlfn.IFS(P3&gt;=33.7,1,P3&lt;=0,0,TRUE,1/(1+0.001842*(P3-33.656446)^2))</f>
        <v>0.981978606081663</v>
      </c>
      <c r="AQ3" s="57">
        <f t="array" ref="AQ3">_xlfn.IFS(Q3&gt;=33.3,1,Q3&lt;=0,0,TRUE,1/(1+0.002025*(Q3-33.346824)^2))</f>
        <v>0.97235748363289</v>
      </c>
      <c r="AR3" s="57">
        <f t="array" ref="AR3">_xlfn.IFS(R3&gt;=182,1,R3&lt;=0,0,TRUE,1/(1+0.000081*(R3-181.622535)^2))</f>
        <v>1</v>
      </c>
      <c r="AS3" s="58">
        <f t="array" ref="AS3">_xlfn.IFS(U3="清洁",1,U3="尚清洁",0.8)</f>
        <v>1</v>
      </c>
      <c r="AT3"/>
      <c r="AU3" s="58"/>
      <c r="AV3" s="58"/>
      <c r="AW3" s="58"/>
      <c r="AX3" s="59">
        <v>0.0988</v>
      </c>
      <c r="AY3" s="59">
        <v>0.0413</v>
      </c>
      <c r="AZ3" s="59">
        <v>0.0797</v>
      </c>
      <c r="BA3" s="59">
        <v>0.0558</v>
      </c>
      <c r="BB3" s="59">
        <v>0.0518</v>
      </c>
      <c r="BC3" s="59">
        <v>0.0345</v>
      </c>
      <c r="BD3" s="59">
        <v>0.0408</v>
      </c>
      <c r="BE3" s="59">
        <v>0.0536</v>
      </c>
      <c r="BF3" s="59">
        <v>0.1088</v>
      </c>
      <c r="BG3" s="59">
        <v>0.1145</v>
      </c>
      <c r="BH3" s="59">
        <v>0.0491</v>
      </c>
      <c r="BI3" s="59">
        <v>0.122</v>
      </c>
      <c r="BJ3" s="59">
        <v>0.0565</v>
      </c>
      <c r="BK3" s="59">
        <v>0.0593</v>
      </c>
      <c r="BL3" s="59">
        <v>0.0335</v>
      </c>
      <c r="BM3" s="58"/>
    </row>
    <row r="4" s="22" customFormat="1" ht="15.95" customHeight="1" spans="1:65">
      <c r="A4" s="42" t="s">
        <v>30</v>
      </c>
      <c r="B4" s="60" t="s">
        <v>42</v>
      </c>
      <c r="C4" s="43">
        <v>120.973887</v>
      </c>
      <c r="D4" s="43">
        <v>30.117592</v>
      </c>
      <c r="E4" s="44" t="s">
        <v>43</v>
      </c>
      <c r="F4" s="15">
        <v>100</v>
      </c>
      <c r="G4" s="13" t="s">
        <v>33</v>
      </c>
      <c r="H4" s="50">
        <v>1.35</v>
      </c>
      <c r="I4" s="13" t="s">
        <v>34</v>
      </c>
      <c r="J4" s="15" t="s">
        <v>44</v>
      </c>
      <c r="K4" s="15" t="s">
        <v>36</v>
      </c>
      <c r="L4" s="12" t="s">
        <v>37</v>
      </c>
      <c r="M4" s="12" t="s">
        <v>39</v>
      </c>
      <c r="N4" s="12" t="s">
        <v>39</v>
      </c>
      <c r="O4" s="61" t="s">
        <v>45</v>
      </c>
      <c r="P4" s="53">
        <v>23.6</v>
      </c>
      <c r="Q4" s="53">
        <v>14</v>
      </c>
      <c r="R4" s="62">
        <v>199</v>
      </c>
      <c r="S4" s="53">
        <v>0.6</v>
      </c>
      <c r="T4" s="48" t="s">
        <v>40</v>
      </c>
      <c r="U4" s="12" t="s">
        <v>41</v>
      </c>
      <c r="V4" s="49"/>
      <c r="W4" s="50">
        <v>0.1</v>
      </c>
      <c r="X4" s="51">
        <v>0.115</v>
      </c>
      <c r="Y4" s="52">
        <v>5.68</v>
      </c>
      <c r="Z4" s="53">
        <v>23.6</v>
      </c>
      <c r="AA4" s="54">
        <v>70</v>
      </c>
      <c r="AB4" s="55" t="e">
        <f t="shared" si="0"/>
        <v>#VALUE!</v>
      </c>
      <c r="AC4" s="55" t="e">
        <f t="array" ref="AC4">_xlfn.IFS(AB4&gt;=0.917,"一等",AB4&gt;=0.8924,"二等",AB4&gt;=0.8678,"三等",AB4&gt;=0.8431,"四等",AB4&gt;=0.8185,"五等",AB4&gt;=0.7939,"六等",AB4&gt;=0.7693,"七等",AB4&gt;=0.7446,"八等",AB4&gt;=0.72,"九等",TRUE,"十等")</f>
        <v>#VALUE!</v>
      </c>
      <c r="AD4" s="56" t="e">
        <f t="shared" ref="AD4:AD17" si="2">ROUND(AB4,4)</f>
        <v>#VALUE!</v>
      </c>
      <c r="AE4" s="57">
        <f t="array" ref="AE4">_xlfn.IFS(E4="山间盆地",0.8,E4="宽谷盆地",0.95,E4="平原低阶",1,E4="平原中阶",0.95,E4="平原高阶",0.9,E4="丘陵上部",0.6,E4="丘陵中部",0.7,E4="丘陵下部",0.8,E4="山地坡上",0.3,E4="山地坡中",0.45,E4="山地坡下",0.68)</f>
        <v>1</v>
      </c>
      <c r="AF4" s="58">
        <f t="array" ref="AF4">_xlfn.IFS(F4&gt;=99,1,F4&lt;=10,0,TRUE,1/(1+0.000205*(F4-99.092342)^2))</f>
        <v>1</v>
      </c>
      <c r="AG4" s="57">
        <f t="array" ref="AG4">_xlfn.IFS(G4="砂土",0.6,G4="砂壤",0.85,G4="轻壤土",0.9,G4="中壤土",1,G4="重壤土",0.95,G4="黏土",0.7)</f>
        <v>1</v>
      </c>
      <c r="AH4" s="58">
        <f t="array" ref="AH4">_xlfn.IFS(H4&gt;=3.21,1,H4&lt;=0.5,0,TRUE,1/(1+2.236726*(H4-1.211674)^2))</f>
        <v>0.958958770870832</v>
      </c>
      <c r="AI4" s="58">
        <f t="array" ref="AI4">_xlfn.IFS(I4="薄层型",0.55,I4="松散型",0.3,I4="紧实型",0.75,I4="夹层型",0.85,I4="上紧下松型",0.4,I4="上松下紧型",1,I4="海绵型",0.95)</f>
        <v>1</v>
      </c>
      <c r="AJ4" s="58">
        <f t="array" ref="AJ4">_xlfn.IFS(J4="丰富",1,J4="一般",0.8,J4="不丰富",0.6)</f>
        <v>1</v>
      </c>
      <c r="AK4" s="58">
        <f t="array" ref="AK4">_xlfn.IFS(K4="高",1,K4="中",0.85,K4="低",0.7)</f>
        <v>0.85</v>
      </c>
      <c r="AL4" s="58">
        <f t="array" ref="AL4">_xlfn.IFS(L4="盐碱",0.5,L4="瘠薄",0.65,L4="酸化",0.7,L4="渍潜",0.55,L4="障碍层次",0.6,L4="无",1)</f>
        <v>1</v>
      </c>
      <c r="AM4" s="58">
        <f t="array" ref="AM4">_xlfn.IFS(M4="充分满足",1,M4="满足",0.8,M4="基本满足",0.6,M4="不满足",0.3)</f>
        <v>0.8</v>
      </c>
      <c r="AN4" s="58">
        <f t="array" ref="AN4">_xlfn.IFS(N4="充分满足",1,N4="满足",0.8,N4="基本满足",0.6,N4="不满足",0.3)</f>
        <v>0.8</v>
      </c>
      <c r="AO4" t="e">
        <f t="shared" si="1"/>
        <v>#VALUE!</v>
      </c>
      <c r="AP4" s="58">
        <f t="array" ref="AP4">_xlfn.IFS(P4&gt;=33.7,1,P4&lt;=0,0,TRUE,1/(1+0.001842*(P4-33.656446)^2))</f>
        <v>0.84296751100052</v>
      </c>
      <c r="AQ4" s="57">
        <f t="array" ref="AQ4">_xlfn.IFS(Q4&gt;=33.3,1,Q4&lt;=0,0,TRUE,1/(1+0.002025*(Q4-33.346824)^2))</f>
        <v>0.568842228577371</v>
      </c>
      <c r="AR4" s="57">
        <f t="array" ref="AR4">_xlfn.IFS(R4&gt;=182,1,R4&lt;=0,0,TRUE,1/(1+0.000081*(R4-181.622535)^2))</f>
        <v>1</v>
      </c>
      <c r="AS4" s="58">
        <f t="array" ref="AS4">_xlfn.IFS(U4="清洁",1,U4="尚清洁",0.8)</f>
        <v>1</v>
      </c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</row>
    <row r="5" s="22" customFormat="1" ht="15.95" customHeight="1" spans="1:65">
      <c r="A5" s="63" t="s">
        <v>30</v>
      </c>
      <c r="B5" s="63" t="s">
        <v>46</v>
      </c>
      <c r="C5" s="43">
        <v>120.980814</v>
      </c>
      <c r="D5" s="43">
        <v>30.108708</v>
      </c>
      <c r="E5" s="44" t="s">
        <v>43</v>
      </c>
      <c r="F5" s="12">
        <v>80</v>
      </c>
      <c r="G5" s="64" t="s">
        <v>47</v>
      </c>
      <c r="H5" s="50">
        <v>1.19</v>
      </c>
      <c r="I5" s="12" t="s">
        <v>48</v>
      </c>
      <c r="J5" s="12" t="s">
        <v>35</v>
      </c>
      <c r="K5" s="12" t="s">
        <v>36</v>
      </c>
      <c r="L5" s="12" t="s">
        <v>37</v>
      </c>
      <c r="M5" s="12" t="s">
        <v>38</v>
      </c>
      <c r="N5" s="12" t="s">
        <v>39</v>
      </c>
      <c r="O5" s="50">
        <v>5.7</v>
      </c>
      <c r="P5" s="53">
        <v>29.4</v>
      </c>
      <c r="Q5" s="53">
        <v>75.8</v>
      </c>
      <c r="R5" s="62">
        <v>147</v>
      </c>
      <c r="S5" s="53">
        <v>0.4</v>
      </c>
      <c r="T5" s="48" t="s">
        <v>40</v>
      </c>
      <c r="U5" s="12" t="s">
        <v>41</v>
      </c>
      <c r="V5" s="49"/>
      <c r="W5" s="50">
        <v>0.09</v>
      </c>
      <c r="X5" s="51">
        <v>0.314</v>
      </c>
      <c r="Y5" s="52">
        <v>3.98</v>
      </c>
      <c r="Z5" s="53">
        <v>22.9</v>
      </c>
      <c r="AA5" s="54">
        <v>42</v>
      </c>
      <c r="AB5" s="55">
        <f t="shared" si="0"/>
        <v>0.882170643801069</v>
      </c>
      <c r="AC5" s="55" t="str">
        <f t="array" ref="AC5">_xlfn.IFS(AB5&gt;=0.917,"一等",AB5&gt;=0.8924,"二等",AB5&gt;=0.8678,"三等",AB5&gt;=0.8431,"四等",AB5&gt;=0.8185,"五等",AB5&gt;=0.7939,"六等",AB5&gt;=0.7693,"七等",AB5&gt;=0.7446,"八等",AB5&gt;=0.72,"九等",TRUE,"十等")</f>
        <v>三等</v>
      </c>
      <c r="AD5" s="56">
        <f t="shared" si="2"/>
        <v>0.8822</v>
      </c>
      <c r="AE5" s="57">
        <f t="array" ref="AE5">_xlfn.IFS(E5="山间盆地",0.8,E5="宽谷盆地",0.95,E5="平原低阶",1,E5="平原中阶",0.95,E5="平原高阶",0.9,E5="丘陵上部",0.6,E5="丘陵中部",0.7,E5="丘陵下部",0.8,E5="山地坡上",0.3,E5="山地坡中",0.45,E5="山地坡下",0.68)</f>
        <v>1</v>
      </c>
      <c r="AF5" s="58">
        <f t="array" ref="AF5">_xlfn.IFS(F5&gt;=99,1,F5&lt;=10,0,TRUE,1/(1+0.000205*(F5-99.092342)^2))</f>
        <v>0.930469639878597</v>
      </c>
      <c r="AG5" s="57">
        <f t="array" ref="AG5">_xlfn.IFS(G5="砂土",0.6,G5="砂壤",0.85,G5="轻壤土",0.9,G5="中壤土",1,G5="重壤土",0.95,G5="黏土",0.7)</f>
        <v>0.9</v>
      </c>
      <c r="AH5" s="58">
        <f t="array" ref="AH5">_xlfn.IFS(H5&gt;=3.21,1,H5&lt;=0.5,0,TRUE,1/(1+2.236726*(H5-1.211674)^2))</f>
        <v>0.998950373377105</v>
      </c>
      <c r="AI5" s="58">
        <f t="array" ref="AI5">_xlfn.IFS(I5="薄层型",0.55,I5="松散型",0.3,I5="紧实型",0.75,I5="夹层型",0.85,I5="上紧下松型",0.4,I5="上松下紧型",1,I5="海绵型",0.95)</f>
        <v>0.85</v>
      </c>
      <c r="AJ5" s="58">
        <f t="array" ref="AJ5">_xlfn.IFS(J5="丰富",1,J5="一般",0.8,J5="不丰富",0.6)</f>
        <v>0.8</v>
      </c>
      <c r="AK5" s="58">
        <f t="array" ref="AK5">_xlfn.IFS(K5="高",1,K5="中",0.85,K5="低",0.7)</f>
        <v>0.85</v>
      </c>
      <c r="AL5" s="58">
        <f t="array" ref="AL5">_xlfn.IFS(L5="盐碱",0.5,L5="瘠薄",0.65,L5="酸化",0.7,L5="渍潜",0.55,L5="障碍层次",0.6,L5="无",1)</f>
        <v>1</v>
      </c>
      <c r="AM5" s="58">
        <f t="array" ref="AM5">_xlfn.IFS(M5="充分满足",1,M5="满足",0.8,M5="基本满足",0.6,M5="不满足",0.3)</f>
        <v>0.6</v>
      </c>
      <c r="AN5" s="58">
        <f t="array" ref="AN5">_xlfn.IFS(N5="充分满足",1,N5="满足",0.8,N5="基本满足",0.6,N5="不满足",0.3)</f>
        <v>0.8</v>
      </c>
      <c r="AO5">
        <f t="shared" si="1"/>
        <v>0.785518549076118</v>
      </c>
      <c r="AP5" s="58">
        <f t="array" ref="AP5">_xlfn.IFS(P5&gt;=33.7,1,P5&lt;=0,0,TRUE,1/(1+0.001842*(P5-33.656446)^2))</f>
        <v>0.967705606043469</v>
      </c>
      <c r="AQ5" s="57">
        <f t="array" ref="AQ5">_xlfn.IFS(Q5&gt;=33.3,1,Q5&lt;=0,0,TRUE,1/(1+0.002025*(Q5-33.346824)^2))</f>
        <v>1</v>
      </c>
      <c r="AR5" s="57">
        <f t="array" ref="AR5">_xlfn.IFS(R5&gt;=182,1,R5&lt;=0,0,TRUE,1/(1+0.000081*(R5-181.622535)^2))</f>
        <v>0.911497000720063</v>
      </c>
      <c r="AS5" s="58">
        <f t="array" ref="AS5">_xlfn.IFS(U5="清洁",1,U5="尚清洁",0.8)</f>
        <v>1</v>
      </c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</row>
    <row r="6" s="22" customFormat="1" ht="15.95" customHeight="1" spans="1:65">
      <c r="A6" s="42" t="s">
        <v>30</v>
      </c>
      <c r="B6" s="60" t="s">
        <v>49</v>
      </c>
      <c r="C6" s="43">
        <v>120.926058</v>
      </c>
      <c r="D6" s="43">
        <v>30.178971</v>
      </c>
      <c r="E6" s="44" t="s">
        <v>43</v>
      </c>
      <c r="F6" s="15">
        <v>100</v>
      </c>
      <c r="G6" s="13" t="s">
        <v>33</v>
      </c>
      <c r="H6" s="50">
        <v>1.19</v>
      </c>
      <c r="I6" s="13" t="s">
        <v>34</v>
      </c>
      <c r="J6" s="15" t="s">
        <v>44</v>
      </c>
      <c r="K6" s="15" t="s">
        <v>36</v>
      </c>
      <c r="L6" s="12" t="s">
        <v>37</v>
      </c>
      <c r="M6" s="12" t="s">
        <v>39</v>
      </c>
      <c r="N6" s="12" t="s">
        <v>39</v>
      </c>
      <c r="O6" s="50">
        <v>7.48</v>
      </c>
      <c r="P6" s="53">
        <v>26.1</v>
      </c>
      <c r="Q6" s="53">
        <v>17.8</v>
      </c>
      <c r="R6" s="62">
        <v>346</v>
      </c>
      <c r="S6" s="53">
        <v>8.2</v>
      </c>
      <c r="T6" s="65" t="s">
        <v>50</v>
      </c>
      <c r="U6" s="12" t="s">
        <v>41</v>
      </c>
      <c r="V6" s="49"/>
      <c r="W6" s="50">
        <v>0.13</v>
      </c>
      <c r="X6" s="51">
        <v>0.031</v>
      </c>
      <c r="Y6" s="52">
        <v>5.92</v>
      </c>
      <c r="Z6" s="53">
        <v>11</v>
      </c>
      <c r="AA6" s="54">
        <v>54</v>
      </c>
      <c r="AB6" s="55">
        <f t="shared" si="0"/>
        <v>0.914565059396178</v>
      </c>
      <c r="AC6" s="55" t="str">
        <f t="array" ref="AC6">_xlfn.IFS(AB6&gt;=0.917,"一等",AB6&gt;=0.8924,"二等",AB6&gt;=0.8678,"三等",AB6&gt;=0.8431,"四等",AB6&gt;=0.8185,"五等",AB6&gt;=0.7939,"六等",AB6&gt;=0.7693,"七等",AB6&gt;=0.7446,"八等",AB6&gt;=0.72,"九等",TRUE,"十等")</f>
        <v>二等</v>
      </c>
      <c r="AD6" s="56">
        <f t="shared" si="2"/>
        <v>0.9146</v>
      </c>
      <c r="AE6" s="57">
        <f t="array" ref="AE6">_xlfn.IFS(E6="山间盆地",0.8,E6="宽谷盆地",0.95,E6="平原低阶",1,E6="平原中阶",0.95,E6="平原高阶",0.9,E6="丘陵上部",0.6,E6="丘陵中部",0.7,E6="丘陵下部",0.8,E6="山地坡上",0.3,E6="山地坡中",0.45,E6="山地坡下",0.68)</f>
        <v>1</v>
      </c>
      <c r="AF6" s="58">
        <f t="array" ref="AF6">_xlfn.IFS(F6&gt;=99,1,F6&lt;=10,0,TRUE,1/(1+0.000205*(F6-99.092342)^2))</f>
        <v>1</v>
      </c>
      <c r="AG6" s="57">
        <f t="array" ref="AG6">_xlfn.IFS(G6="砂土",0.6,G6="砂壤",0.85,G6="轻壤土",0.9,G6="中壤土",1,G6="重壤土",0.95,G6="黏土",0.7)</f>
        <v>1</v>
      </c>
      <c r="AH6" s="58">
        <f t="array" ref="AH6">_xlfn.IFS(H6&gt;=3.21,1,H6&lt;=0.5,0,TRUE,1/(1+2.236726*(H6-1.211674)^2))</f>
        <v>0.998950373377105</v>
      </c>
      <c r="AI6" s="58">
        <f t="array" ref="AI6">_xlfn.IFS(I6="薄层型",0.55,I6="松散型",0.3,I6="紧实型",0.75,I6="夹层型",0.85,I6="上紧下松型",0.4,I6="上松下紧型",1,I6="海绵型",0.95)</f>
        <v>1</v>
      </c>
      <c r="AJ6" s="58">
        <f t="array" ref="AJ6">_xlfn.IFS(J6="丰富",1,J6="一般",0.8,J6="不丰富",0.6)</f>
        <v>1</v>
      </c>
      <c r="AK6" s="58">
        <f t="array" ref="AK6">_xlfn.IFS(K6="高",1,K6="中",0.85,K6="低",0.7)</f>
        <v>0.85</v>
      </c>
      <c r="AL6" s="58">
        <f t="array" ref="AL6">_xlfn.IFS(L6="盐碱",0.5,L6="瘠薄",0.65,L6="酸化",0.7,L6="渍潜",0.55,L6="障碍层次",0.6,L6="无",1)</f>
        <v>1</v>
      </c>
      <c r="AM6" s="58">
        <f t="array" ref="AM6">_xlfn.IFS(M6="充分满足",1,M6="满足",0.8,M6="基本满足",0.6,M6="不满足",0.3)</f>
        <v>0.8</v>
      </c>
      <c r="AN6" s="58">
        <f t="array" ref="AN6">_xlfn.IFS(N6="充分满足",1,N6="满足",0.8,N6="基本满足",0.6,N6="不满足",0.3)</f>
        <v>0.8</v>
      </c>
      <c r="AO6">
        <f t="shared" si="1"/>
        <v>0.90999398052494</v>
      </c>
      <c r="AP6" s="58">
        <f t="array" ref="AP6">_xlfn.IFS(P6&gt;=33.7,1,P6&lt;=0,0,TRUE,1/(1+0.001842*(P6-33.656446)^2))</f>
        <v>0.904831642914468</v>
      </c>
      <c r="AQ6" s="57">
        <f t="array" ref="AQ6">_xlfn.IFS(Q6&gt;=33.3,1,Q6&lt;=0,0,TRUE,1/(1+0.002025*(Q6-33.346824)^2))</f>
        <v>0.671388737741517</v>
      </c>
      <c r="AR6" s="57">
        <f t="array" ref="AR6">_xlfn.IFS(R6&gt;=182,1,R6&lt;=0,0,TRUE,1/(1+0.000081*(R6-181.622535)^2))</f>
        <v>1</v>
      </c>
      <c r="AS6" s="58">
        <f t="array" ref="AS6">_xlfn.IFS(U6="清洁",1,U6="尚清洁",0.8)</f>
        <v>1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</row>
    <row r="7" s="22" customFormat="1" ht="15.95" customHeight="1" spans="1:65">
      <c r="A7" s="42" t="s">
        <v>30</v>
      </c>
      <c r="B7" s="60" t="s">
        <v>51</v>
      </c>
      <c r="C7" s="43">
        <v>120.928206</v>
      </c>
      <c r="D7" s="43">
        <v>30.176413</v>
      </c>
      <c r="E7" s="44" t="s">
        <v>43</v>
      </c>
      <c r="F7" s="15">
        <v>100</v>
      </c>
      <c r="G7" s="13" t="s">
        <v>33</v>
      </c>
      <c r="H7" s="50">
        <v>1.38</v>
      </c>
      <c r="I7" s="13" t="s">
        <v>34</v>
      </c>
      <c r="J7" s="15" t="s">
        <v>44</v>
      </c>
      <c r="K7" s="15" t="s">
        <v>36</v>
      </c>
      <c r="L7" s="12" t="s">
        <v>37</v>
      </c>
      <c r="M7" s="12" t="s">
        <v>39</v>
      </c>
      <c r="N7" s="12" t="s">
        <v>39</v>
      </c>
      <c r="O7" s="50">
        <v>6.49</v>
      </c>
      <c r="P7" s="66" t="s">
        <v>52</v>
      </c>
      <c r="Q7" s="53">
        <v>7.2</v>
      </c>
      <c r="R7" s="62">
        <v>292</v>
      </c>
      <c r="S7" s="53">
        <v>3.2</v>
      </c>
      <c r="T7" s="65" t="s">
        <v>50</v>
      </c>
      <c r="U7" s="12" t="s">
        <v>41</v>
      </c>
      <c r="V7" s="49"/>
      <c r="W7" s="50">
        <v>0.07</v>
      </c>
      <c r="X7" s="51">
        <v>0.013</v>
      </c>
      <c r="Y7" s="52">
        <v>4.1</v>
      </c>
      <c r="Z7" s="53">
        <v>12.8</v>
      </c>
      <c r="AA7" s="54">
        <v>47</v>
      </c>
      <c r="AB7" s="55">
        <f t="shared" si="0"/>
        <v>0.911994902441757</v>
      </c>
      <c r="AC7" s="55" t="str">
        <f t="array" ref="AC7">_xlfn.IFS(AB7&gt;=0.917,"一等",AB7&gt;=0.8924,"二等",AB7&gt;=0.8678,"三等",AB7&gt;=0.8431,"四等",AB7&gt;=0.8185,"五等",AB7&gt;=0.7939,"六等",AB7&gt;=0.7693,"七等",AB7&gt;=0.7446,"八等",AB7&gt;=0.72,"九等",TRUE,"十等")</f>
        <v>二等</v>
      </c>
      <c r="AD7" s="56">
        <f t="shared" si="2"/>
        <v>0.912</v>
      </c>
      <c r="AE7" s="57">
        <f t="array" ref="AE7">_xlfn.IFS(E7="山间盆地",0.8,E7="宽谷盆地",0.95,E7="平原低阶",1,E7="平原中阶",0.95,E7="平原高阶",0.9,E7="丘陵上部",0.6,E7="丘陵中部",0.7,E7="丘陵下部",0.8,E7="山地坡上",0.3,E7="山地坡中",0.45,E7="山地坡下",0.68)</f>
        <v>1</v>
      </c>
      <c r="AF7" s="58">
        <f t="array" ref="AF7">_xlfn.IFS(F7&gt;=99,1,F7&lt;=10,0,TRUE,1/(1+0.000205*(F7-99.092342)^2))</f>
        <v>1</v>
      </c>
      <c r="AG7" s="57">
        <f t="array" ref="AG7">_xlfn.IFS(G7="砂土",0.6,G7="砂壤",0.85,G7="轻壤土",0.9,G7="中壤土",1,G7="重壤土",0.95,G7="黏土",0.7)</f>
        <v>1</v>
      </c>
      <c r="AH7" s="58">
        <f t="array" ref="AH7">_xlfn.IFS(H7&gt;=3.21,1,H7&lt;=0.5,0,TRUE,1/(1+2.236726*(H7-1.211674)^2))</f>
        <v>0.940402380600448</v>
      </c>
      <c r="AI7" s="58">
        <f t="array" ref="AI7">_xlfn.IFS(I7="薄层型",0.55,I7="松散型",0.3,I7="紧实型",0.75,I7="夹层型",0.85,I7="上紧下松型",0.4,I7="上松下紧型",1,I7="海绵型",0.95)</f>
        <v>1</v>
      </c>
      <c r="AJ7" s="58">
        <f t="array" ref="AJ7">_xlfn.IFS(J7="丰富",1,J7="一般",0.8,J7="不丰富",0.6)</f>
        <v>1</v>
      </c>
      <c r="AK7" s="58">
        <f t="array" ref="AK7">_xlfn.IFS(K7="高",1,K7="中",0.85,K7="低",0.7)</f>
        <v>0.85</v>
      </c>
      <c r="AL7" s="58">
        <f t="array" ref="AL7">_xlfn.IFS(L7="盐碱",0.5,L7="瘠薄",0.65,L7="酸化",0.7,L7="渍潜",0.55,L7="障碍层次",0.6,L7="无",1)</f>
        <v>1</v>
      </c>
      <c r="AM7" s="58">
        <f t="array" ref="AM7">_xlfn.IFS(M7="充分满足",1,M7="满足",0.8,M7="基本满足",0.6,M7="不满足",0.3)</f>
        <v>0.8</v>
      </c>
      <c r="AN7" s="58">
        <f t="array" ref="AN7">_xlfn.IFS(N7="充分满足",1,N7="满足",0.8,N7="基本满足",0.6,N7="不满足",0.3)</f>
        <v>0.8</v>
      </c>
      <c r="AO7">
        <f t="shared" si="1"/>
        <v>0.97769456020087</v>
      </c>
      <c r="AP7" s="58">
        <f t="array" ref="AP7">_xlfn.IFS(P7&gt;=33.7,1,P7&lt;=0,0,TRUE,1/(1+0.001842*(P7-33.656446)^2))</f>
        <v>1</v>
      </c>
      <c r="AQ7" s="57">
        <f t="array" ref="AQ7">_xlfn.IFS(Q7&gt;=33.3,1,Q7&lt;=0,0,TRUE,1/(1+0.002025*(Q7-33.346824)^2))</f>
        <v>0.419391976962638</v>
      </c>
      <c r="AR7" s="57">
        <f t="array" ref="AR7">_xlfn.IFS(R7&gt;=182,1,R7&lt;=0,0,TRUE,1/(1+0.000081*(R7-181.622535)^2))</f>
        <v>1</v>
      </c>
      <c r="AS7" s="58">
        <f t="array" ref="AS7">_xlfn.IFS(U7="清洁",1,U7="尚清洁",0.8)</f>
        <v>1</v>
      </c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</row>
    <row r="8" s="22" customFormat="1" ht="15.95" customHeight="1" spans="1:65">
      <c r="A8" s="42" t="s">
        <v>30</v>
      </c>
      <c r="B8" s="60" t="s">
        <v>53</v>
      </c>
      <c r="C8" s="43">
        <v>120.929139</v>
      </c>
      <c r="D8" s="43">
        <v>30.174376</v>
      </c>
      <c r="E8" s="44" t="s">
        <v>43</v>
      </c>
      <c r="F8" s="15">
        <v>100</v>
      </c>
      <c r="G8" s="13" t="s">
        <v>33</v>
      </c>
      <c r="H8" s="50">
        <v>1.29</v>
      </c>
      <c r="I8" s="13" t="s">
        <v>34</v>
      </c>
      <c r="J8" s="15" t="s">
        <v>44</v>
      </c>
      <c r="K8" s="15" t="s">
        <v>36</v>
      </c>
      <c r="L8" s="12" t="s">
        <v>37</v>
      </c>
      <c r="M8" s="12" t="s">
        <v>39</v>
      </c>
      <c r="N8" s="12" t="s">
        <v>39</v>
      </c>
      <c r="O8" s="61" t="s">
        <v>54</v>
      </c>
      <c r="P8" s="66" t="s">
        <v>55</v>
      </c>
      <c r="Q8" s="53">
        <v>13.7</v>
      </c>
      <c r="R8" s="62">
        <v>325</v>
      </c>
      <c r="S8" s="53">
        <v>1.8</v>
      </c>
      <c r="T8" s="65" t="s">
        <v>50</v>
      </c>
      <c r="U8" s="12" t="s">
        <v>41</v>
      </c>
      <c r="V8" s="49"/>
      <c r="W8" s="50">
        <v>0.05</v>
      </c>
      <c r="X8" s="51">
        <v>0.015</v>
      </c>
      <c r="Y8" s="52">
        <v>4.1</v>
      </c>
      <c r="Z8" s="53">
        <v>8.7</v>
      </c>
      <c r="AA8" s="54">
        <v>40</v>
      </c>
      <c r="AB8" s="55" t="e">
        <f t="shared" si="0"/>
        <v>#VALUE!</v>
      </c>
      <c r="AC8" s="55" t="e">
        <f t="array" ref="AC8">_xlfn.IFS(AB8&gt;=0.917,"一等",AB8&gt;=0.8924,"二等",AB8&gt;=0.8678,"三等",AB8&gt;=0.8431,"四等",AB8&gt;=0.8185,"五等",AB8&gt;=0.7939,"六等",AB8&gt;=0.7693,"七等",AB8&gt;=0.7446,"八等",AB8&gt;=0.72,"九等",TRUE,"十等")</f>
        <v>#VALUE!</v>
      </c>
      <c r="AD8" s="56" t="e">
        <f t="shared" si="2"/>
        <v>#VALUE!</v>
      </c>
      <c r="AE8" s="57">
        <f t="array" ref="AE8">_xlfn.IFS(E8="山间盆地",0.8,E8="宽谷盆地",0.95,E8="平原低阶",1,E8="平原中阶",0.95,E8="平原高阶",0.9,E8="丘陵上部",0.6,E8="丘陵中部",0.7,E8="丘陵下部",0.8,E8="山地坡上",0.3,E8="山地坡中",0.45,E8="山地坡下",0.68)</f>
        <v>1</v>
      </c>
      <c r="AF8" s="58">
        <f t="array" ref="AF8">_xlfn.IFS(F8&gt;=99,1,F8&lt;=10,0,TRUE,1/(1+0.000205*(F8-99.092342)^2))</f>
        <v>1</v>
      </c>
      <c r="AG8" s="57">
        <f t="array" ref="AG8">_xlfn.IFS(G8="砂土",0.6,G8="砂壤",0.85,G8="轻壤土",0.9,G8="中壤土",1,G8="重壤土",0.95,G8="黏土",0.7)</f>
        <v>1</v>
      </c>
      <c r="AH8" s="58">
        <f t="array" ref="AH8">_xlfn.IFS(H8&gt;=3.21,1,H8&lt;=0.5,0,TRUE,1/(1+2.236726*(H8-1.211674)^2))</f>
        <v>0.986463521040933</v>
      </c>
      <c r="AI8" s="58">
        <f t="array" ref="AI8">_xlfn.IFS(I8="薄层型",0.55,I8="松散型",0.3,I8="紧实型",0.75,I8="夹层型",0.85,I8="上紧下松型",0.4,I8="上松下紧型",1,I8="海绵型",0.95)</f>
        <v>1</v>
      </c>
      <c r="AJ8" s="58">
        <f t="array" ref="AJ8">_xlfn.IFS(J8="丰富",1,J8="一般",0.8,J8="不丰富",0.6)</f>
        <v>1</v>
      </c>
      <c r="AK8" s="58">
        <f t="array" ref="AK8">_xlfn.IFS(K8="高",1,K8="中",0.85,K8="低",0.7)</f>
        <v>0.85</v>
      </c>
      <c r="AL8" s="58">
        <f t="array" ref="AL8">_xlfn.IFS(L8="盐碱",0.5,L8="瘠薄",0.65,L8="酸化",0.7,L8="渍潜",0.55,L8="障碍层次",0.6,L8="无",1)</f>
        <v>1</v>
      </c>
      <c r="AM8" s="58">
        <f t="array" ref="AM8">_xlfn.IFS(M8="充分满足",1,M8="满足",0.8,M8="基本满足",0.6,M8="不满足",0.3)</f>
        <v>0.8</v>
      </c>
      <c r="AN8" s="58">
        <f t="array" ref="AN8">_xlfn.IFS(N8="充分满足",1,N8="满足",0.8,N8="基本满足",0.6,N8="不满足",0.3)</f>
        <v>0.8</v>
      </c>
      <c r="AO8" t="e">
        <f t="shared" si="1"/>
        <v>#VALUE!</v>
      </c>
      <c r="AP8" s="58">
        <f t="array" ref="AP8">_xlfn.IFS(P8&gt;=33.7,1,P8&lt;=0,0,TRUE,1/(1+0.001842*(P8-33.656446)^2))</f>
        <v>1</v>
      </c>
      <c r="AQ8" s="57">
        <f t="array" ref="AQ8">_xlfn.IFS(Q8&gt;=33.3,1,Q8&lt;=0,0,TRUE,1/(1+0.002025*(Q8-33.346824)^2))</f>
        <v>0.561278939065817</v>
      </c>
      <c r="AR8" s="57">
        <f t="array" ref="AR8">_xlfn.IFS(R8&gt;=182,1,R8&lt;=0,0,TRUE,1/(1+0.000081*(R8-181.622535)^2))</f>
        <v>1</v>
      </c>
      <c r="AS8" s="58">
        <f t="array" ref="AS8">_xlfn.IFS(U8="清洁",1,U8="尚清洁",0.8)</f>
        <v>1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</row>
    <row r="9" s="22" customFormat="1" ht="15.95" customHeight="1" spans="1:65">
      <c r="A9" s="42" t="s">
        <v>30</v>
      </c>
      <c r="B9" s="60" t="s">
        <v>56</v>
      </c>
      <c r="C9" s="43">
        <v>120.976513</v>
      </c>
      <c r="D9" s="43">
        <v>30.138276</v>
      </c>
      <c r="E9" s="44" t="s">
        <v>43</v>
      </c>
      <c r="F9" s="15">
        <v>100</v>
      </c>
      <c r="G9" s="13" t="s">
        <v>33</v>
      </c>
      <c r="H9" s="50">
        <v>1.38</v>
      </c>
      <c r="I9" s="13" t="s">
        <v>34</v>
      </c>
      <c r="J9" s="15" t="s">
        <v>44</v>
      </c>
      <c r="K9" s="15" t="s">
        <v>36</v>
      </c>
      <c r="L9" s="12" t="s">
        <v>37</v>
      </c>
      <c r="M9" s="12" t="s">
        <v>39</v>
      </c>
      <c r="N9" s="12" t="s">
        <v>39</v>
      </c>
      <c r="O9" s="50">
        <v>7.68</v>
      </c>
      <c r="P9" s="66" t="s">
        <v>57</v>
      </c>
      <c r="Q9" s="53">
        <v>8</v>
      </c>
      <c r="R9" s="62">
        <v>274</v>
      </c>
      <c r="S9" s="53">
        <v>1.1</v>
      </c>
      <c r="T9" s="65" t="s">
        <v>50</v>
      </c>
      <c r="U9" s="12" t="s">
        <v>41</v>
      </c>
      <c r="V9" s="49"/>
      <c r="W9" s="50">
        <v>0.14</v>
      </c>
      <c r="X9" s="51">
        <v>0.05</v>
      </c>
      <c r="Y9" s="52">
        <v>10.8</v>
      </c>
      <c r="Z9" s="53">
        <v>20.1</v>
      </c>
      <c r="AA9" s="54">
        <v>59</v>
      </c>
      <c r="AB9" s="55">
        <f t="shared" si="0"/>
        <v>0.906926112138847</v>
      </c>
      <c r="AC9" s="55" t="str">
        <f t="array" ref="AC9">_xlfn.IFS(AB9&gt;=0.917,"一等",AB9&gt;=0.8924,"二等",AB9&gt;=0.8678,"三等",AB9&gt;=0.8431,"四等",AB9&gt;=0.8185,"五等",AB9&gt;=0.7939,"六等",AB9&gt;=0.7693,"七等",AB9&gt;=0.7446,"八等",AB9&gt;=0.72,"九等",TRUE,"十等")</f>
        <v>二等</v>
      </c>
      <c r="AD9" s="56">
        <f t="shared" si="2"/>
        <v>0.9069</v>
      </c>
      <c r="AE9" s="57">
        <f t="array" ref="AE9">_xlfn.IFS(E9="山间盆地",0.8,E9="宽谷盆地",0.95,E9="平原低阶",1,E9="平原中阶",0.95,E9="平原高阶",0.9,E9="丘陵上部",0.6,E9="丘陵中部",0.7,E9="丘陵下部",0.8,E9="山地坡上",0.3,E9="山地坡中",0.45,E9="山地坡下",0.68)</f>
        <v>1</v>
      </c>
      <c r="AF9" s="58">
        <f t="array" ref="AF9">_xlfn.IFS(F9&gt;=99,1,F9&lt;=10,0,TRUE,1/(1+0.000205*(F9-99.092342)^2))</f>
        <v>1</v>
      </c>
      <c r="AG9" s="57">
        <f t="array" ref="AG9">_xlfn.IFS(G9="砂土",0.6,G9="砂壤",0.85,G9="轻壤土",0.9,G9="中壤土",1,G9="重壤土",0.95,G9="黏土",0.7)</f>
        <v>1</v>
      </c>
      <c r="AH9" s="58">
        <f t="array" ref="AH9">_xlfn.IFS(H9&gt;=3.21,1,H9&lt;=0.5,0,TRUE,1/(1+2.236726*(H9-1.211674)^2))</f>
        <v>0.940402380600448</v>
      </c>
      <c r="AI9" s="58">
        <f t="array" ref="AI9">_xlfn.IFS(I9="薄层型",0.55,I9="松散型",0.3,I9="紧实型",0.75,I9="夹层型",0.85,I9="上紧下松型",0.4,I9="上松下紧型",1,I9="海绵型",0.95)</f>
        <v>1</v>
      </c>
      <c r="AJ9" s="58">
        <f t="array" ref="AJ9">_xlfn.IFS(J9="丰富",1,J9="一般",0.8,J9="不丰富",0.6)</f>
        <v>1</v>
      </c>
      <c r="AK9" s="58">
        <f t="array" ref="AK9">_xlfn.IFS(K9="高",1,K9="中",0.85,K9="低",0.7)</f>
        <v>0.85</v>
      </c>
      <c r="AL9" s="58">
        <f t="array" ref="AL9">_xlfn.IFS(L9="盐碱",0.5,L9="瘠薄",0.65,L9="酸化",0.7,L9="渍潜",0.55,L9="障碍层次",0.6,L9="无",1)</f>
        <v>1</v>
      </c>
      <c r="AM9" s="58">
        <f t="array" ref="AM9">_xlfn.IFS(M9="充分满足",1,M9="满足",0.8,M9="基本满足",0.6,M9="不满足",0.3)</f>
        <v>0.8</v>
      </c>
      <c r="AN9" s="58">
        <f t="array" ref="AN9">_xlfn.IFS(N9="充分满足",1,N9="满足",0.8,N9="基本满足",0.6,N9="不满足",0.3)</f>
        <v>0.8</v>
      </c>
      <c r="AO9">
        <f t="shared" si="1"/>
        <v>0.856964409551951</v>
      </c>
      <c r="AP9" s="58">
        <f t="array" ref="AP9">_xlfn.IFS(P9&gt;=33.7,1,P9&lt;=0,0,TRUE,1/(1+0.001842*(P9-33.656446)^2))</f>
        <v>1</v>
      </c>
      <c r="AQ9" s="57">
        <f t="array" ref="AQ9">_xlfn.IFS(Q9&gt;=33.3,1,Q9&lt;=0,0,TRUE,1/(1+0.002025*(Q9-33.346824)^2))</f>
        <v>0.434596580395414</v>
      </c>
      <c r="AR9" s="57">
        <f t="array" ref="AR9">_xlfn.IFS(R9&gt;=182,1,R9&lt;=0,0,TRUE,1/(1+0.000081*(R9-181.622535)^2))</f>
        <v>1</v>
      </c>
      <c r="AS9" s="58">
        <f t="array" ref="AS9">_xlfn.IFS(U9="清洁",1,U9="尚清洁",0.8)</f>
        <v>1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</row>
    <row r="10" ht="15.95" customHeight="1" spans="1:65">
      <c r="A10" s="42" t="s">
        <v>30</v>
      </c>
      <c r="B10" s="60" t="s">
        <v>58</v>
      </c>
      <c r="C10" s="43">
        <v>120.968466</v>
      </c>
      <c r="D10" s="43">
        <v>30.127355</v>
      </c>
      <c r="E10" s="44" t="s">
        <v>43</v>
      </c>
      <c r="F10" s="15">
        <v>100</v>
      </c>
      <c r="G10" s="13" t="s">
        <v>33</v>
      </c>
      <c r="H10" s="50">
        <v>1.11</v>
      </c>
      <c r="I10" s="13" t="s">
        <v>34</v>
      </c>
      <c r="J10" s="15" t="s">
        <v>35</v>
      </c>
      <c r="K10" s="15" t="s">
        <v>36</v>
      </c>
      <c r="L10" s="12" t="s">
        <v>37</v>
      </c>
      <c r="M10" s="12" t="s">
        <v>39</v>
      </c>
      <c r="N10" s="12" t="s">
        <v>38</v>
      </c>
      <c r="O10" s="50">
        <v>5.12</v>
      </c>
      <c r="P10" s="53">
        <v>28.9</v>
      </c>
      <c r="Q10" s="53">
        <v>34</v>
      </c>
      <c r="R10" s="62">
        <v>176</v>
      </c>
      <c r="S10" s="53">
        <v>0.2</v>
      </c>
      <c r="T10" s="65" t="s">
        <v>50</v>
      </c>
      <c r="U10" s="12" t="s">
        <v>41</v>
      </c>
      <c r="V10" s="67"/>
      <c r="W10" s="50">
        <v>0.21</v>
      </c>
      <c r="X10" s="51">
        <v>0.294</v>
      </c>
      <c r="Y10" s="52">
        <v>5.56</v>
      </c>
      <c r="Z10" s="53">
        <v>30.9</v>
      </c>
      <c r="AA10" s="54">
        <v>57</v>
      </c>
      <c r="AB10" s="55">
        <f t="shared" ref="AB10:AB16" si="3">AE10*$AX$3+AF10*$AY$3+AG10*$AZ$3+AH10*$BA$3+AI10*$BB$3+AJ10*$BC$3+AK10*$BD$3+AL10*$BE$3+AM10*$BF$3+AN10*$BG$3+AO10*$BH$3+AP10*$BI$3+AQ10*$BJ$3+AR10*$BK$3+AS10*$BL$3</f>
        <v>0.894103941768607</v>
      </c>
      <c r="AC10" s="55" t="str">
        <f t="array" ref="AC10">_xlfn.IFS(AB10&gt;=0.917,"一等",AB10&gt;=0.8924,"二等",AB10&gt;=0.8678,"三等",AB10&gt;=0.8431,"四等",AB10&gt;=0.8185,"五等",AB10&gt;=0.7939,"六等",AB10&gt;=0.7693,"七等",AB10&gt;=0.7446,"八等",AB10&gt;=0.72,"九等",TRUE,"十等")</f>
        <v>二等</v>
      </c>
      <c r="AD10" s="56">
        <f t="shared" si="2"/>
        <v>0.8941</v>
      </c>
      <c r="AE10" s="57">
        <f t="array" ref="AE10">_xlfn.IFS(E10="山间盆地",0.8,E10="宽谷盆地",0.95,E10="平原低阶",1,E10="平原中阶",0.95,E10="平原高阶",0.9,E10="丘陵上部",0.6,E10="丘陵中部",0.7,E10="丘陵下部",0.8,E10="山地坡上",0.3,E10="山地坡中",0.45,E10="山地坡下",0.68)</f>
        <v>1</v>
      </c>
      <c r="AF10" s="58">
        <f t="array" ref="AF10">_xlfn.IFS(F10&gt;=99,1,F10&lt;=10,0,TRUE,1/(1+0.000205*(F10-99.092342)^2))</f>
        <v>1</v>
      </c>
      <c r="AG10" s="57">
        <f t="array" ref="AG10">_xlfn.IFS(G10="砂土",0.6,G10="砂壤",0.85,G10="轻壤土",0.9,G10="中壤土",1,G10="重壤土",0.95,G10="黏土",0.7)</f>
        <v>1</v>
      </c>
      <c r="AH10" s="58">
        <f t="array" ref="AH10">_xlfn.IFS(H10&gt;=3.21,1,H10&lt;=0.5,0,TRUE,1/(1+2.236726*(H10-1.211674)^2))</f>
        <v>0.977400177970136</v>
      </c>
      <c r="AI10" s="58">
        <f t="array" ref="AI10">_xlfn.IFS(I10="薄层型",0.55,I10="松散型",0.3,I10="紧实型",0.75,I10="夹层型",0.85,I10="上紧下松型",0.4,I10="上松下紧型",1,I10="海绵型",0.95)</f>
        <v>1</v>
      </c>
      <c r="AJ10" s="58">
        <f t="array" ref="AJ10">_xlfn.IFS(J10="丰富",1,J10="一般",0.8,J10="不丰富",0.6)</f>
        <v>0.8</v>
      </c>
      <c r="AK10" s="58">
        <f t="array" ref="AK10">_xlfn.IFS(K10="高",1,K10="中",0.85,K10="低",0.7)</f>
        <v>0.85</v>
      </c>
      <c r="AL10" s="58">
        <f t="array" ref="AL10">_xlfn.IFS(L10="盐碱",0.5,L10="瘠薄",0.65,L10="酸化",0.7,L10="渍潜",0.55,L10="障碍层次",0.6,L10="无",1)</f>
        <v>1</v>
      </c>
      <c r="AM10" s="58">
        <f t="array" ref="AM10">_xlfn.IFS(M10="充分满足",1,M10="满足",0.8,M10="基本满足",0.6,M10="不满足",0.3)</f>
        <v>0.8</v>
      </c>
      <c r="AN10" s="58">
        <f t="array" ref="AN10">_xlfn.IFS(N10="充分满足",1,N10="满足",0.8,N10="基本满足",0.6,N10="不满足",0.3)</f>
        <v>0.6</v>
      </c>
      <c r="AO10">
        <f t="shared" ref="AO10:AO16" si="4">(1/(1+0.221129*(O10-6.811204)^2))</f>
        <v>0.612569905170732</v>
      </c>
      <c r="AP10" s="58">
        <f t="array" ref="AP10">_xlfn.IFS(P10&gt;=33.7,1,P10&lt;=0,0,TRUE,1/(1+0.001842*(P10-33.656446)^2))</f>
        <v>0.959994163151819</v>
      </c>
      <c r="AQ10" s="57">
        <f t="array" ref="AQ10">_xlfn.IFS(Q10&gt;=33.3,1,Q10&lt;=0,0,TRUE,1/(1+0.002025*(Q10-33.346824)^2))</f>
        <v>1</v>
      </c>
      <c r="AR10" s="57">
        <f t="array" ref="AR10">_xlfn.IFS(R10&gt;=182,1,R10&lt;=0,0,TRUE,1/(1+0.000081*(R10-181.622535)^2))</f>
        <v>0.997445895269293</v>
      </c>
      <c r="AS10" s="58">
        <f t="array" ref="AS10">_xlfn.IFS(U10="清洁",1,U10="尚清洁",0.8)</f>
        <v>1</v>
      </c>
    </row>
    <row r="11" ht="15.95" customHeight="1" spans="1:65">
      <c r="A11" s="42" t="s">
        <v>30</v>
      </c>
      <c r="B11" s="60" t="s">
        <v>59</v>
      </c>
      <c r="C11" s="43">
        <v>120.946923</v>
      </c>
      <c r="D11" s="43">
        <v>30.149888</v>
      </c>
      <c r="E11" s="44" t="s">
        <v>43</v>
      </c>
      <c r="F11" s="15">
        <v>100</v>
      </c>
      <c r="G11" s="13" t="s">
        <v>33</v>
      </c>
      <c r="H11" s="50">
        <v>1.26</v>
      </c>
      <c r="I11" s="13" t="s">
        <v>34</v>
      </c>
      <c r="J11" s="15" t="s">
        <v>35</v>
      </c>
      <c r="K11" s="15" t="s">
        <v>36</v>
      </c>
      <c r="L11" s="12" t="s">
        <v>37</v>
      </c>
      <c r="M11" s="12" t="s">
        <v>39</v>
      </c>
      <c r="N11" s="12" t="s">
        <v>39</v>
      </c>
      <c r="O11" s="50">
        <v>6.24</v>
      </c>
      <c r="P11" s="66" t="s">
        <v>60</v>
      </c>
      <c r="Q11" s="53">
        <v>38.1</v>
      </c>
      <c r="R11" s="62">
        <v>544</v>
      </c>
      <c r="S11" s="53">
        <v>6</v>
      </c>
      <c r="T11" s="65" t="s">
        <v>50</v>
      </c>
      <c r="U11" s="12" t="s">
        <v>41</v>
      </c>
      <c r="V11" s="67"/>
      <c r="W11" s="50">
        <v>0.08</v>
      </c>
      <c r="X11" s="51">
        <v>0.042</v>
      </c>
      <c r="Y11" s="52">
        <v>5.43</v>
      </c>
      <c r="Z11" s="53">
        <v>13.1</v>
      </c>
      <c r="AA11" s="54">
        <v>50</v>
      </c>
      <c r="AB11" s="55">
        <f t="shared" si="3"/>
        <v>0.938725923394664</v>
      </c>
      <c r="AC11" s="55" t="str">
        <f t="array" ref="AC11">_xlfn.IFS(AB11&gt;=0.917,"一等",AB11&gt;=0.8924,"二等",AB11&gt;=0.8678,"三等",AB11&gt;=0.8431,"四等",AB11&gt;=0.8185,"五等",AB11&gt;=0.7939,"六等",AB11&gt;=0.7693,"七等",AB11&gt;=0.7446,"八等",AB11&gt;=0.72,"九等",TRUE,"十等")</f>
        <v>一等</v>
      </c>
      <c r="AD11" s="56">
        <f t="shared" si="2"/>
        <v>0.9387</v>
      </c>
      <c r="AE11" s="57">
        <f t="array" ref="AE11">_xlfn.IFS(E11="山间盆地",0.8,E11="宽谷盆地",0.95,E11="平原低阶",1,E11="平原中阶",0.95,E11="平原高阶",0.9,E11="丘陵上部",0.6,E11="丘陵中部",0.7,E11="丘陵下部",0.8,E11="山地坡上",0.3,E11="山地坡中",0.45,E11="山地坡下",0.68)</f>
        <v>1</v>
      </c>
      <c r="AF11" s="58">
        <f t="array" ref="AF11">_xlfn.IFS(F11&gt;=99,1,F11&lt;=10,0,TRUE,1/(1+0.000205*(F11-99.092342)^2))</f>
        <v>1</v>
      </c>
      <c r="AG11" s="57">
        <f t="array" ref="AG11">_xlfn.IFS(G11="砂土",0.6,G11="砂壤",0.85,G11="轻壤土",0.9,G11="中壤土",1,G11="重壤土",0.95,G11="黏土",0.7)</f>
        <v>1</v>
      </c>
      <c r="AH11" s="58">
        <f t="array" ref="AH11">_xlfn.IFS(H11&gt;=3.21,1,H11&lt;=0.5,0,TRUE,1/(1+2.236726*(H11-1.211674)^2))</f>
        <v>0.994803489785331</v>
      </c>
      <c r="AI11" s="58">
        <f t="array" ref="AI11">_xlfn.IFS(I11="薄层型",0.55,I11="松散型",0.3,I11="紧实型",0.75,I11="夹层型",0.85,I11="上紧下松型",0.4,I11="上松下紧型",1,I11="海绵型",0.95)</f>
        <v>1</v>
      </c>
      <c r="AJ11" s="58">
        <f t="array" ref="AJ11">_xlfn.IFS(J11="丰富",1,J11="一般",0.8,J11="不丰富",0.6)</f>
        <v>0.8</v>
      </c>
      <c r="AK11" s="58">
        <f t="array" ref="AK11">_xlfn.IFS(K11="高",1,K11="中",0.85,K11="低",0.7)</f>
        <v>0.85</v>
      </c>
      <c r="AL11" s="58">
        <f t="array" ref="AL11">_xlfn.IFS(L11="盐碱",0.5,L11="瘠薄",0.65,L11="酸化",0.7,L11="渍潜",0.55,L11="障碍层次",0.6,L11="无",1)</f>
        <v>1</v>
      </c>
      <c r="AM11" s="58">
        <f t="array" ref="AM11">_xlfn.IFS(M11="充分满足",1,M11="满足",0.8,M11="基本满足",0.6,M11="不满足",0.3)</f>
        <v>0.8</v>
      </c>
      <c r="AN11" s="58">
        <f t="array" ref="AN11">_xlfn.IFS(N11="充分满足",1,N11="满足",0.8,N11="基本满足",0.6,N11="不满足",0.3)</f>
        <v>0.8</v>
      </c>
      <c r="AO11">
        <f t="shared" si="4"/>
        <v>0.932706490114915</v>
      </c>
      <c r="AP11" s="58">
        <f t="array" ref="AP11">_xlfn.IFS(P11&gt;=33.7,1,P11&lt;=0,0,TRUE,1/(1+0.001842*(P11-33.656446)^2))</f>
        <v>1</v>
      </c>
      <c r="AQ11" s="57">
        <f t="array" ref="AQ11">_xlfn.IFS(Q11&gt;=33.3,1,Q11&lt;=0,0,TRUE,1/(1+0.002025*(Q11-33.346824)^2))</f>
        <v>1</v>
      </c>
      <c r="AR11" s="57">
        <f t="array" ref="AR11">_xlfn.IFS(R11&gt;=182,1,R11&lt;=0,0,TRUE,1/(1+0.000081*(R11-181.622535)^2))</f>
        <v>1</v>
      </c>
      <c r="AS11" s="58">
        <f t="array" ref="AS11">_xlfn.IFS(U11="清洁",1,U11="尚清洁",0.8)</f>
        <v>1</v>
      </c>
    </row>
    <row r="12" ht="15.95" customHeight="1" spans="1:65">
      <c r="A12" s="42" t="s">
        <v>30</v>
      </c>
      <c r="B12" s="60" t="s">
        <v>61</v>
      </c>
      <c r="C12" s="43">
        <v>120.980474</v>
      </c>
      <c r="D12" s="43">
        <v>30.116148</v>
      </c>
      <c r="E12" s="44" t="s">
        <v>43</v>
      </c>
      <c r="F12" s="15">
        <v>100</v>
      </c>
      <c r="G12" s="13" t="s">
        <v>33</v>
      </c>
      <c r="H12" s="50">
        <v>1.5</v>
      </c>
      <c r="I12" s="13" t="s">
        <v>34</v>
      </c>
      <c r="J12" s="15" t="s">
        <v>44</v>
      </c>
      <c r="K12" s="15" t="s">
        <v>36</v>
      </c>
      <c r="L12" s="12" t="s">
        <v>37</v>
      </c>
      <c r="M12" s="12" t="s">
        <v>39</v>
      </c>
      <c r="N12" s="12" t="s">
        <v>39</v>
      </c>
      <c r="O12" s="50">
        <v>6.62</v>
      </c>
      <c r="P12" s="53">
        <v>32.1</v>
      </c>
      <c r="Q12" s="53">
        <v>12.4</v>
      </c>
      <c r="R12" s="62">
        <v>202</v>
      </c>
      <c r="S12" s="53">
        <v>0.5</v>
      </c>
      <c r="T12" s="65" t="s">
        <v>50</v>
      </c>
      <c r="U12" s="12" t="s">
        <v>41</v>
      </c>
      <c r="V12" s="67"/>
      <c r="W12" s="50">
        <v>0.13</v>
      </c>
      <c r="X12" s="51">
        <v>0.127</v>
      </c>
      <c r="Y12" s="52">
        <v>5.89</v>
      </c>
      <c r="Z12" s="53">
        <v>25.3</v>
      </c>
      <c r="AA12" s="54">
        <v>57</v>
      </c>
      <c r="AB12" s="55">
        <f t="shared" si="3"/>
        <v>0.912953217174101</v>
      </c>
      <c r="AC12" s="55" t="str">
        <f t="array" ref="AC12">_xlfn.IFS(AB12&gt;=0.917,"一等",AB12&gt;=0.8924,"二等",AB12&gt;=0.8678,"三等",AB12&gt;=0.8431,"四等",AB12&gt;=0.8185,"五等",AB12&gt;=0.7939,"六等",AB12&gt;=0.7693,"七等",AB12&gt;=0.7446,"八等",AB12&gt;=0.72,"九等",TRUE,"十等")</f>
        <v>二等</v>
      </c>
      <c r="AD12" s="56">
        <f t="shared" si="2"/>
        <v>0.913</v>
      </c>
      <c r="AE12" s="57">
        <f t="array" ref="AE12">_xlfn.IFS(E12="山间盆地",0.8,E12="宽谷盆地",0.95,E12="平原低阶",1,E12="平原中阶",0.95,E12="平原高阶",0.9,E12="丘陵上部",0.6,E12="丘陵中部",0.7,E12="丘陵下部",0.8,E12="山地坡上",0.3,E12="山地坡中",0.45,E12="山地坡下",0.68)</f>
        <v>1</v>
      </c>
      <c r="AF12" s="58">
        <f t="array" ref="AF12">_xlfn.IFS(F12&gt;=99,1,F12&lt;=10,0,TRUE,1/(1+0.000205*(F12-99.092342)^2))</f>
        <v>1</v>
      </c>
      <c r="AG12" s="57">
        <f t="array" ref="AG12">_xlfn.IFS(G12="砂土",0.6,G12="砂壤",0.85,G12="轻壤土",0.9,G12="中壤土",1,G12="重壤土",0.95,G12="黏土",0.7)</f>
        <v>1</v>
      </c>
      <c r="AH12" s="58">
        <f t="array" ref="AH12">_xlfn.IFS(H12&gt;=3.21,1,H12&lt;=0.5,0,TRUE,1/(1+2.236726*(H12-1.211674)^2))</f>
        <v>0.843210673285478</v>
      </c>
      <c r="AI12" s="58">
        <f t="array" ref="AI12">_xlfn.IFS(I12="薄层型",0.55,I12="松散型",0.3,I12="紧实型",0.75,I12="夹层型",0.85,I12="上紧下松型",0.4,I12="上松下紧型",1,I12="海绵型",0.95)</f>
        <v>1</v>
      </c>
      <c r="AJ12" s="58">
        <f t="array" ref="AJ12">_xlfn.IFS(J12="丰富",1,J12="一般",0.8,J12="不丰富",0.6)</f>
        <v>1</v>
      </c>
      <c r="AK12" s="58">
        <f t="array" ref="AK12">_xlfn.IFS(K12="高",1,K12="中",0.85,K12="低",0.7)</f>
        <v>0.85</v>
      </c>
      <c r="AL12" s="58">
        <f t="array" ref="AL12">_xlfn.IFS(L12="盐碱",0.5,L12="瘠薄",0.65,L12="酸化",0.7,L12="渍潜",0.55,L12="障碍层次",0.6,L12="无",1)</f>
        <v>1</v>
      </c>
      <c r="AM12" s="58">
        <f t="array" ref="AM12">_xlfn.IFS(M12="充分满足",1,M12="满足",0.8,M12="基本满足",0.6,M12="不满足",0.3)</f>
        <v>0.8</v>
      </c>
      <c r="AN12" s="58">
        <f t="array" ref="AN12">_xlfn.IFS(N12="充分满足",1,N12="满足",0.8,N12="基本满足",0.6,N12="不满足",0.3)</f>
        <v>0.8</v>
      </c>
      <c r="AO12">
        <f t="shared" si="4"/>
        <v>0.991980582570246</v>
      </c>
      <c r="AP12" s="58">
        <f t="array" ref="AP12">_xlfn.IFS(P12&gt;=33.7,1,P12&lt;=0,0,TRUE,1/(1+0.001842*(P12-33.656446)^2))</f>
        <v>0.995557534082966</v>
      </c>
      <c r="AQ12" s="57">
        <f t="array" ref="AQ12">_xlfn.IFS(Q12&gt;=33.3,1,Q12&lt;=0,0,TRUE,1/(1+0.002025*(Q12-33.346824)^2))</f>
        <v>0.529518510485844</v>
      </c>
      <c r="AR12" s="57">
        <f t="array" ref="AR12">_xlfn.IFS(R12&gt;=182,1,R12&lt;=0,0,TRUE,1/(1+0.000081*(R12-181.622535)^2))</f>
        <v>1</v>
      </c>
      <c r="AS12" s="58">
        <f t="array" ref="AS12">_xlfn.IFS(U12="清洁",1,U12="尚清洁",0.8)</f>
        <v>1</v>
      </c>
    </row>
    <row r="13" ht="15.95" customHeight="1" spans="1:65">
      <c r="A13" s="42" t="s">
        <v>30</v>
      </c>
      <c r="B13" s="60" t="s">
        <v>62</v>
      </c>
      <c r="C13" s="43">
        <v>120.985433</v>
      </c>
      <c r="D13" s="43">
        <v>30.117849</v>
      </c>
      <c r="E13" s="44" t="s">
        <v>43</v>
      </c>
      <c r="F13" s="15">
        <v>100</v>
      </c>
      <c r="G13" s="13" t="s">
        <v>33</v>
      </c>
      <c r="H13" s="50">
        <v>1.33</v>
      </c>
      <c r="I13" s="13" t="s">
        <v>34</v>
      </c>
      <c r="J13" s="15" t="s">
        <v>44</v>
      </c>
      <c r="K13" s="15" t="s">
        <v>36</v>
      </c>
      <c r="L13" s="12" t="s">
        <v>37</v>
      </c>
      <c r="M13" s="12" t="s">
        <v>39</v>
      </c>
      <c r="N13" s="12" t="s">
        <v>39</v>
      </c>
      <c r="O13" s="50">
        <v>6.49</v>
      </c>
      <c r="P13" s="53">
        <v>32</v>
      </c>
      <c r="Q13" s="53">
        <v>7.5</v>
      </c>
      <c r="R13" s="62">
        <v>243</v>
      </c>
      <c r="S13" s="53">
        <v>1.2</v>
      </c>
      <c r="T13" s="65" t="s">
        <v>50</v>
      </c>
      <c r="U13" s="12" t="s">
        <v>41</v>
      </c>
      <c r="V13" s="67"/>
      <c r="W13" s="50">
        <v>0.09</v>
      </c>
      <c r="X13" s="51">
        <v>0.048</v>
      </c>
      <c r="Y13" s="52">
        <v>7.46</v>
      </c>
      <c r="Z13" s="53">
        <v>23.6</v>
      </c>
      <c r="AA13" s="54">
        <v>69</v>
      </c>
      <c r="AB13" s="55">
        <f t="shared" si="3"/>
        <v>0.913330661360581</v>
      </c>
      <c r="AC13" s="55" t="str">
        <f t="array" ref="AC13">_xlfn.IFS(AB13&gt;=0.917,"一等",AB13&gt;=0.8924,"二等",AB13&gt;=0.8678,"三等",AB13&gt;=0.8431,"四等",AB13&gt;=0.8185,"五等",AB13&gt;=0.7939,"六等",AB13&gt;=0.7693,"七等",AB13&gt;=0.7446,"八等",AB13&gt;=0.72,"九等",TRUE,"十等")</f>
        <v>二等</v>
      </c>
      <c r="AD13" s="56">
        <f t="shared" si="2"/>
        <v>0.9133</v>
      </c>
      <c r="AE13" s="57">
        <f t="array" ref="AE13">_xlfn.IFS(E13="山间盆地",0.8,E13="宽谷盆地",0.95,E13="平原低阶",1,E13="平原中阶",0.95,E13="平原高阶",0.9,E13="丘陵上部",0.6,E13="丘陵中部",0.7,E13="丘陵下部",0.8,E13="山地坡上",0.3,E13="山地坡中",0.45,E13="山地坡下",0.68)</f>
        <v>1</v>
      </c>
      <c r="AF13" s="58">
        <f t="array" ref="AF13">_xlfn.IFS(F13&gt;=99,1,F13&lt;=10,0,TRUE,1/(1+0.000205*(F13-99.092342)^2))</f>
        <v>1</v>
      </c>
      <c r="AG13" s="57">
        <f t="array" ref="AG13">_xlfn.IFS(G13="砂土",0.6,G13="砂壤",0.85,G13="轻壤土",0.9,G13="中壤土",1,G13="重壤土",0.95,G13="黏土",0.7)</f>
        <v>1</v>
      </c>
      <c r="AH13" s="58">
        <f t="array" ref="AH13">_xlfn.IFS(H13&gt;=3.21,1,H13&lt;=0.5,0,TRUE,1/(1+2.236726*(H13-1.211674)^2))</f>
        <v>0.969634447399051</v>
      </c>
      <c r="AI13" s="58">
        <f t="array" ref="AI13">_xlfn.IFS(I13="薄层型",0.55,I13="松散型",0.3,I13="紧实型",0.75,I13="夹层型",0.85,I13="上紧下松型",0.4,I13="上松下紧型",1,I13="海绵型",0.95)</f>
        <v>1</v>
      </c>
      <c r="AJ13" s="58">
        <f t="array" ref="AJ13">_xlfn.IFS(J13="丰富",1,J13="一般",0.8,J13="不丰富",0.6)</f>
        <v>1</v>
      </c>
      <c r="AK13" s="58">
        <f t="array" ref="AK13">_xlfn.IFS(K13="高",1,K13="中",0.85,K13="低",0.7)</f>
        <v>0.85</v>
      </c>
      <c r="AL13" s="58">
        <f t="array" ref="AL13">_xlfn.IFS(L13="盐碱",0.5,L13="瘠薄",0.65,L13="酸化",0.7,L13="渍潜",0.55,L13="障碍层次",0.6,L13="无",1)</f>
        <v>1</v>
      </c>
      <c r="AM13" s="58">
        <f t="array" ref="AM13">_xlfn.IFS(M13="充分满足",1,M13="满足",0.8,M13="基本满足",0.6,M13="不满足",0.3)</f>
        <v>0.8</v>
      </c>
      <c r="AN13" s="58">
        <f t="array" ref="AN13">_xlfn.IFS(N13="充分满足",1,N13="满足",0.8,N13="基本满足",0.6,N13="不满足",0.3)</f>
        <v>0.8</v>
      </c>
      <c r="AO13">
        <f t="shared" si="4"/>
        <v>0.97769456020087</v>
      </c>
      <c r="AP13" s="58">
        <f t="array" ref="AP13">_xlfn.IFS(P13&gt;=33.7,1,P13&lt;=0,0,TRUE,1/(1+0.001842*(P13-33.656446)^2))</f>
        <v>0.994971311324132</v>
      </c>
      <c r="AQ13" s="57">
        <f t="array" ref="AQ13">_xlfn.IFS(Q13&gt;=33.3,1,Q13&lt;=0,0,TRUE,1/(1+0.002025*(Q13-33.346824)^2))</f>
        <v>0.42502223554526</v>
      </c>
      <c r="AR13" s="57">
        <f t="array" ref="AR13">_xlfn.IFS(R13&gt;=182,1,R13&lt;=0,0,TRUE,1/(1+0.000081*(R13-181.622535)^2))</f>
        <v>1</v>
      </c>
      <c r="AS13" s="58">
        <f t="array" ref="AS13">_xlfn.IFS(U13="清洁",1,U13="尚清洁",0.8)</f>
        <v>1</v>
      </c>
    </row>
    <row r="14" ht="15.95" customHeight="1" spans="1:65">
      <c r="A14" s="16" t="s">
        <v>30</v>
      </c>
      <c r="B14" s="42" t="s">
        <v>63</v>
      </c>
      <c r="C14" s="43">
        <v>120.983369</v>
      </c>
      <c r="D14" s="43">
        <v>30.100792</v>
      </c>
      <c r="E14" s="44" t="s">
        <v>43</v>
      </c>
      <c r="F14" s="12">
        <v>100</v>
      </c>
      <c r="G14" s="12" t="s">
        <v>33</v>
      </c>
      <c r="H14" s="50">
        <v>1.1</v>
      </c>
      <c r="I14" s="13" t="s">
        <v>34</v>
      </c>
      <c r="J14" s="12" t="s">
        <v>44</v>
      </c>
      <c r="K14" s="12" t="s">
        <v>36</v>
      </c>
      <c r="L14" s="12" t="s">
        <v>37</v>
      </c>
      <c r="M14" s="12" t="s">
        <v>39</v>
      </c>
      <c r="N14" s="12" t="s">
        <v>39</v>
      </c>
      <c r="O14" s="50">
        <v>6.88</v>
      </c>
      <c r="P14" s="53">
        <v>41.3</v>
      </c>
      <c r="Q14" s="53">
        <v>6.4</v>
      </c>
      <c r="R14" s="62">
        <v>213</v>
      </c>
      <c r="S14" s="53">
        <v>0.3</v>
      </c>
      <c r="T14" s="65" t="s">
        <v>50</v>
      </c>
      <c r="U14" s="12" t="s">
        <v>41</v>
      </c>
      <c r="V14" s="67"/>
      <c r="W14" s="50">
        <v>0.09</v>
      </c>
      <c r="X14" s="51">
        <v>0.138</v>
      </c>
      <c r="Y14" s="52">
        <v>6.49</v>
      </c>
      <c r="Z14" s="53">
        <v>27</v>
      </c>
      <c r="AA14" s="54">
        <v>64</v>
      </c>
      <c r="AB14" s="55">
        <f t="shared" si="3"/>
        <v>0.914025041754868</v>
      </c>
      <c r="AC14" s="55" t="str">
        <f t="array" ref="AC14">_xlfn.IFS(AB14&gt;=0.917,"一等",AB14&gt;=0.8924,"二等",AB14&gt;=0.8678,"三等",AB14&gt;=0.8431,"四等",AB14&gt;=0.8185,"五等",AB14&gt;=0.7939,"六等",AB14&gt;=0.7693,"七等",AB14&gt;=0.7446,"八等",AB14&gt;=0.72,"九等",TRUE,"十等")</f>
        <v>二等</v>
      </c>
      <c r="AD14" s="56">
        <f t="shared" si="2"/>
        <v>0.914</v>
      </c>
      <c r="AE14" s="57">
        <f t="array" ref="AE14">_xlfn.IFS(E14="山间盆地",0.8,E14="宽谷盆地",0.95,E14="平原低阶",1,E14="平原中阶",0.95,E14="平原高阶",0.9,E14="丘陵上部",0.6,E14="丘陵中部",0.7,E14="丘陵下部",0.8,E14="山地坡上",0.3,E14="山地坡中",0.45,E14="山地坡下",0.68)</f>
        <v>1</v>
      </c>
      <c r="AF14" s="58">
        <f t="array" ref="AF14">_xlfn.IFS(F14&gt;=99,1,F14&lt;=10,0,TRUE,1/(1+0.000205*(F14-99.092342)^2))</f>
        <v>1</v>
      </c>
      <c r="AG14" s="57">
        <f t="array" ref="AG14">_xlfn.IFS(G14="砂土",0.6,G14="砂壤",0.85,G14="轻壤土",0.9,G14="中壤土",1,G14="重壤土",0.95,G14="黏土",0.7)</f>
        <v>1</v>
      </c>
      <c r="AH14" s="58">
        <f t="array" ref="AH14">_xlfn.IFS(H14&gt;=3.21,1,H14&lt;=0.5,0,TRUE,1/(1+2.236726*(H14-1.211674)^2))</f>
        <v>0.972862587695414</v>
      </c>
      <c r="AI14" s="58">
        <f t="array" ref="AI14">_xlfn.IFS(I14="薄层型",0.55,I14="松散型",0.3,I14="紧实型",0.75,I14="夹层型",0.85,I14="上紧下松型",0.4,I14="上松下紧型",1,I14="海绵型",0.95)</f>
        <v>1</v>
      </c>
      <c r="AJ14" s="58">
        <f t="array" ref="AJ14">_xlfn.IFS(J14="丰富",1,J14="一般",0.8,J14="不丰富",0.6)</f>
        <v>1</v>
      </c>
      <c r="AK14" s="58">
        <f t="array" ref="AK14">_xlfn.IFS(K14="高",1,K14="中",0.85,K14="低",0.7)</f>
        <v>0.85</v>
      </c>
      <c r="AL14" s="58">
        <f t="array" ref="AL14">_xlfn.IFS(L14="盐碱",0.5,L14="瘠薄",0.65,L14="酸化",0.7,L14="渍潜",0.55,L14="障碍层次",0.6,L14="无",1)</f>
        <v>1</v>
      </c>
      <c r="AM14" s="58">
        <f t="array" ref="AM14">_xlfn.IFS(M14="充分满足",1,M14="满足",0.8,M14="基本满足",0.6,M14="不满足",0.3)</f>
        <v>0.8</v>
      </c>
      <c r="AN14" s="58">
        <f t="array" ref="AN14">_xlfn.IFS(N14="充分满足",1,N14="满足",0.8,N14="基本满足",0.6,N14="不满足",0.3)</f>
        <v>0.8</v>
      </c>
      <c r="AO14">
        <f t="shared" si="4"/>
        <v>0.998954515034868</v>
      </c>
      <c r="AP14" s="58">
        <f t="array" ref="AP14">_xlfn.IFS(P14&gt;=33.7,1,P14&lt;=0,0,TRUE,1/(1+0.001842*(P14-33.656446)^2))</f>
        <v>1</v>
      </c>
      <c r="AQ14" s="57">
        <f t="array" ref="AQ14">_xlfn.IFS(Q14&gt;=33.3,1,Q14&lt;=0,0,TRUE,1/(1+0.002025*(Q14-33.346824)^2))</f>
        <v>0.404790135809769</v>
      </c>
      <c r="AR14" s="57">
        <f t="array" ref="AR14">_xlfn.IFS(R14&gt;=182,1,R14&lt;=0,0,TRUE,1/(1+0.000081*(R14-181.622535)^2))</f>
        <v>1</v>
      </c>
      <c r="AS14" s="58">
        <f t="array" ref="AS14">_xlfn.IFS(U14="清洁",1,U14="尚清洁",0.8)</f>
        <v>1</v>
      </c>
    </row>
    <row r="15" ht="15.95" customHeight="1" spans="1:65">
      <c r="A15" s="16" t="s">
        <v>30</v>
      </c>
      <c r="B15" s="42" t="s">
        <v>64</v>
      </c>
      <c r="C15" s="43">
        <v>120.974246</v>
      </c>
      <c r="D15" s="43">
        <v>30.104955</v>
      </c>
      <c r="E15" s="44" t="s">
        <v>43</v>
      </c>
      <c r="F15" s="12">
        <v>100</v>
      </c>
      <c r="G15" s="12" t="s">
        <v>47</v>
      </c>
      <c r="H15" s="50">
        <v>1.56</v>
      </c>
      <c r="I15" s="13" t="s">
        <v>34</v>
      </c>
      <c r="J15" s="12" t="s">
        <v>44</v>
      </c>
      <c r="K15" s="12" t="s">
        <v>36</v>
      </c>
      <c r="L15" s="12" t="s">
        <v>37</v>
      </c>
      <c r="M15" s="12" t="s">
        <v>39</v>
      </c>
      <c r="N15" s="12" t="s">
        <v>39</v>
      </c>
      <c r="O15" s="50">
        <v>6.84</v>
      </c>
      <c r="P15" s="53">
        <v>26.1</v>
      </c>
      <c r="Q15" s="53">
        <v>12.8</v>
      </c>
      <c r="R15" s="62">
        <v>248</v>
      </c>
      <c r="S15" s="53">
        <v>1.1</v>
      </c>
      <c r="T15" s="65" t="s">
        <v>50</v>
      </c>
      <c r="U15" s="12" t="s">
        <v>41</v>
      </c>
      <c r="V15" s="67"/>
      <c r="W15" s="50">
        <v>0.07</v>
      </c>
      <c r="X15" s="51">
        <v>0.041</v>
      </c>
      <c r="Y15" s="52">
        <v>4.47</v>
      </c>
      <c r="Z15" s="53">
        <v>10.5</v>
      </c>
      <c r="AA15" s="54">
        <v>46</v>
      </c>
      <c r="AB15" s="55">
        <f t="shared" si="3"/>
        <v>0.891679522637891</v>
      </c>
      <c r="AC15" s="55" t="str">
        <f t="array" ref="AC15">_xlfn.IFS(AB15&gt;=0.917,"一等",AB15&gt;=0.8924,"二等",AB15&gt;=0.8678,"三等",AB15&gt;=0.8431,"四等",AB15&gt;=0.8185,"五等",AB15&gt;=0.7939,"六等",AB15&gt;=0.7693,"七等",AB15&gt;=0.7446,"八等",AB15&gt;=0.72,"九等",TRUE,"十等")</f>
        <v>三等</v>
      </c>
      <c r="AD15" s="56">
        <f t="shared" si="2"/>
        <v>0.8917</v>
      </c>
      <c r="AE15" s="57">
        <f t="array" ref="AE15">_xlfn.IFS(E15="山间盆地",0.8,E15="宽谷盆地",0.95,E15="平原低阶",1,E15="平原中阶",0.95,E15="平原高阶",0.9,E15="丘陵上部",0.6,E15="丘陵中部",0.7,E15="丘陵下部",0.8,E15="山地坡上",0.3,E15="山地坡中",0.45,E15="山地坡下",0.68)</f>
        <v>1</v>
      </c>
      <c r="AF15" s="58">
        <f t="array" ref="AF15">_xlfn.IFS(F15&gt;=99,1,F15&lt;=10,0,TRUE,1/(1+0.000205*(F15-99.092342)^2))</f>
        <v>1</v>
      </c>
      <c r="AG15" s="57">
        <f t="array" ref="AG15">_xlfn.IFS(G15="砂土",0.6,G15="砂壤",0.85,G15="轻壤土",0.9,G15="中壤土",1,G15="重壤土",0.95,G15="黏土",0.7)</f>
        <v>0.9</v>
      </c>
      <c r="AH15" s="58">
        <f t="array" ref="AH15">_xlfn.IFS(H15&gt;=3.21,1,H15&lt;=0.5,0,TRUE,1/(1+2.236726*(H15-1.211674)^2))</f>
        <v>0.786544298868979</v>
      </c>
      <c r="AI15" s="58">
        <f t="array" ref="AI15">_xlfn.IFS(I15="薄层型",0.55,I15="松散型",0.3,I15="紧实型",0.75,I15="夹层型",0.85,I15="上紧下松型",0.4,I15="上松下紧型",1,I15="海绵型",0.95)</f>
        <v>1</v>
      </c>
      <c r="AJ15" s="58">
        <f t="array" ref="AJ15">_xlfn.IFS(J15="丰富",1,J15="一般",0.8,J15="不丰富",0.6)</f>
        <v>1</v>
      </c>
      <c r="AK15" s="58">
        <f t="array" ref="AK15">_xlfn.IFS(K15="高",1,K15="中",0.85,K15="低",0.7)</f>
        <v>0.85</v>
      </c>
      <c r="AL15" s="58">
        <f t="array" ref="AL15">_xlfn.IFS(L15="盐碱",0.5,L15="瘠薄",0.65,L15="酸化",0.7,L15="渍潜",0.55,L15="障碍层次",0.6,L15="无",1)</f>
        <v>1</v>
      </c>
      <c r="AM15" s="58">
        <f t="array" ref="AM15">_xlfn.IFS(M15="充分满足",1,M15="满足",0.8,M15="基本满足",0.6,M15="不满足",0.3)</f>
        <v>0.8</v>
      </c>
      <c r="AN15" s="58">
        <f t="array" ref="AN15">_xlfn.IFS(N15="充分满足",1,N15="满足",0.8,N15="基本满足",0.6,N15="不满足",0.3)</f>
        <v>0.8</v>
      </c>
      <c r="AO15">
        <f t="shared" si="4"/>
        <v>0.99981667132239</v>
      </c>
      <c r="AP15" s="58">
        <f t="array" ref="AP15">_xlfn.IFS(P15&gt;=33.7,1,P15&lt;=0,0,TRUE,1/(1+0.001842*(P15-33.656446)^2))</f>
        <v>0.904831642914468</v>
      </c>
      <c r="AQ15" s="57">
        <f t="array" ref="AQ15">_xlfn.IFS(Q15&gt;=33.3,1,Q15&lt;=0,0,TRUE,1/(1+0.002025*(Q15-33.346824)^2))</f>
        <v>0.539113128557649</v>
      </c>
      <c r="AR15" s="57">
        <f t="array" ref="AR15">_xlfn.IFS(R15&gt;=182,1,R15&lt;=0,0,TRUE,1/(1+0.000081*(R15-181.622535)^2))</f>
        <v>1</v>
      </c>
      <c r="AS15" s="58">
        <f t="array" ref="AS15">_xlfn.IFS(U15="清洁",1,U15="尚清洁",0.8)</f>
        <v>1</v>
      </c>
    </row>
    <row r="16" ht="15.95" customHeight="1" spans="1:65">
      <c r="A16" s="16" t="s">
        <v>30</v>
      </c>
      <c r="B16" s="42" t="s">
        <v>65</v>
      </c>
      <c r="C16" s="43">
        <v>120.966287</v>
      </c>
      <c r="D16" s="43">
        <v>30.097237</v>
      </c>
      <c r="E16" s="44" t="s">
        <v>43</v>
      </c>
      <c r="F16" s="12">
        <v>100</v>
      </c>
      <c r="G16" s="12" t="s">
        <v>33</v>
      </c>
      <c r="H16" s="50">
        <v>1.03</v>
      </c>
      <c r="I16" s="13" t="s">
        <v>34</v>
      </c>
      <c r="J16" s="12" t="s">
        <v>44</v>
      </c>
      <c r="K16" s="12" t="s">
        <v>36</v>
      </c>
      <c r="L16" s="12" t="s">
        <v>37</v>
      </c>
      <c r="M16" s="12" t="s">
        <v>39</v>
      </c>
      <c r="N16" s="12" t="s">
        <v>39</v>
      </c>
      <c r="O16" s="50">
        <v>6.09</v>
      </c>
      <c r="P16" s="53">
        <v>43.9</v>
      </c>
      <c r="Q16" s="53">
        <v>8.1</v>
      </c>
      <c r="R16" s="62">
        <v>219</v>
      </c>
      <c r="S16" s="53">
        <v>0.6</v>
      </c>
      <c r="T16" s="65" t="s">
        <v>50</v>
      </c>
      <c r="U16" s="12" t="s">
        <v>41</v>
      </c>
      <c r="V16" s="67"/>
      <c r="W16" s="50">
        <v>0.11</v>
      </c>
      <c r="X16" s="51">
        <v>0.168</v>
      </c>
      <c r="Y16" s="52">
        <v>6.52</v>
      </c>
      <c r="Z16" s="53">
        <v>25.2</v>
      </c>
      <c r="AA16" s="54">
        <v>56</v>
      </c>
      <c r="AB16" s="55">
        <f t="shared" si="3"/>
        <v>0.908483546761037</v>
      </c>
      <c r="AC16" s="55" t="str">
        <f t="array" ref="AC16">_xlfn.IFS(AB16&gt;=0.917,"一等",AB16&gt;=0.8924,"二等",AB16&gt;=0.8678,"三等",AB16&gt;=0.8431,"四等",AB16&gt;=0.8185,"五等",AB16&gt;=0.7939,"六等",AB16&gt;=0.7693,"七等",AB16&gt;=0.7446,"八等",AB16&gt;=0.72,"九等",TRUE,"十等")</f>
        <v>二等</v>
      </c>
      <c r="AD16" s="56">
        <f t="shared" si="2"/>
        <v>0.9085</v>
      </c>
      <c r="AE16" s="57">
        <f t="array" ref="AE16">_xlfn.IFS(E16="山间盆地",0.8,E16="宽谷盆地",0.95,E16="平原低阶",1,E16="平原中阶",0.95,E16="平原高阶",0.9,E16="丘陵上部",0.6,E16="丘陵中部",0.7,E16="丘陵下部",0.8,E16="山地坡上",0.3,E16="山地坡中",0.45,E16="山地坡下",0.68)</f>
        <v>1</v>
      </c>
      <c r="AF16" s="58">
        <f t="array" ref="AF16">_xlfn.IFS(F16&gt;=99,1,F16&lt;=10,0,TRUE,1/(1+0.000205*(F16-99.092342)^2))</f>
        <v>1</v>
      </c>
      <c r="AG16" s="57">
        <f t="array" ref="AG16">_xlfn.IFS(G16="砂土",0.6,G16="砂壤",0.85,G16="轻壤土",0.9,G16="中壤土",1,G16="重壤土",0.95,G16="黏土",0.7)</f>
        <v>1</v>
      </c>
      <c r="AH16" s="58">
        <f t="array" ref="AH16">_xlfn.IFS(H16&gt;=3.21,1,H16&lt;=0.5,0,TRUE,1/(1+2.236726*(H16-1.211674)^2))</f>
        <v>0.931251190248711</v>
      </c>
      <c r="AI16" s="58">
        <f t="array" ref="AI16">_xlfn.IFS(I16="薄层型",0.55,I16="松散型",0.3,I16="紧实型",0.75,I16="夹层型",0.85,I16="上紧下松型",0.4,I16="上松下紧型",1,I16="海绵型",0.95)</f>
        <v>1</v>
      </c>
      <c r="AJ16" s="58">
        <f t="array" ref="AJ16">_xlfn.IFS(J16="丰富",1,J16="一般",0.8,J16="不丰富",0.6)</f>
        <v>1</v>
      </c>
      <c r="AK16" s="58">
        <f t="array" ref="AK16">_xlfn.IFS(K16="高",1,K16="中",0.85,K16="低",0.7)</f>
        <v>0.85</v>
      </c>
      <c r="AL16" s="58">
        <f t="array" ref="AL16">_xlfn.IFS(L16="盐碱",0.5,L16="瘠薄",0.65,L16="酸化",0.7,L16="渍潜",0.55,L16="障碍层次",0.6,L16="无",1)</f>
        <v>1</v>
      </c>
      <c r="AM16" s="58">
        <f t="array" ref="AM16">_xlfn.IFS(M16="充分满足",1,M16="满足",0.8,M16="基本满足",0.6,M16="不满足",0.3)</f>
        <v>0.8</v>
      </c>
      <c r="AN16" s="58">
        <f t="array" ref="AN16">_xlfn.IFS(N16="充分满足",1,N16="满足",0.8,N16="基本满足",0.6,N16="不满足",0.3)</f>
        <v>0.8</v>
      </c>
      <c r="AO16">
        <f t="shared" si="4"/>
        <v>0.896847329720176</v>
      </c>
      <c r="AP16" s="58">
        <f t="array" ref="AP16">_xlfn.IFS(P16&gt;=33.7,1,P16&lt;=0,0,TRUE,1/(1+0.001842*(P16-33.656446)^2))</f>
        <v>1</v>
      </c>
      <c r="AQ16" s="57">
        <f t="array" ref="AQ16">_xlfn.IFS(Q16&gt;=33.3,1,Q16&lt;=0,0,TRUE,1/(1+0.002025*(Q16-33.346824)^2))</f>
        <v>0.43654029125484</v>
      </c>
      <c r="AR16" s="57">
        <f t="array" ref="AR16">_xlfn.IFS(R16&gt;=182,1,R16&lt;=0,0,TRUE,1/(1+0.000081*(R16-181.622535)^2))</f>
        <v>1</v>
      </c>
      <c r="AS16" s="58">
        <f t="array" ref="AS16">_xlfn.IFS(U16="清洁",1,U16="尚清洁",0.8)</f>
        <v>1</v>
      </c>
    </row>
    <row r="17" ht="194.25" customHeight="1" spans="1:45">
      <c r="A17" s="68" t="s">
        <v>66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AB17" s="55"/>
      <c r="AC17" s="55"/>
      <c r="AD17">
        <f t="shared" si="2"/>
        <v>0</v>
      </c>
      <c r="AE17" s="57"/>
      <c r="AF17" s="58"/>
      <c r="AG17" s="57"/>
      <c r="AH17" s="58"/>
      <c r="AI17" s="58"/>
      <c r="AJ17" s="58"/>
      <c r="AK17" s="58"/>
      <c r="AL17" s="58"/>
      <c r="AM17" s="58"/>
      <c r="AN17" s="58"/>
      <c r="AP17" s="58"/>
      <c r="AQ17" s="57"/>
      <c r="AR17" s="57"/>
      <c r="AS17" s="58"/>
    </row>
    <row r="18" ht="18.75" spans="1:45">
      <c r="AB18" s="55"/>
      <c r="AC18" s="55"/>
      <c r="AE18" s="57"/>
      <c r="AF18" s="58"/>
      <c r="AG18" s="57"/>
      <c r="AH18" s="58"/>
      <c r="AI18" s="58"/>
      <c r="AJ18" s="58"/>
      <c r="AK18" s="58"/>
      <c r="AL18" s="58"/>
      <c r="AM18" s="58"/>
      <c r="AN18" s="58"/>
      <c r="AP18" s="58"/>
      <c r="AQ18" s="57"/>
      <c r="AR18" s="57"/>
      <c r="AS18" s="58"/>
    </row>
    <row r="19" ht="18.75" spans="1:45">
      <c r="AB19" s="55"/>
      <c r="AC19" s="55"/>
      <c r="AE19" s="57"/>
      <c r="AF19" s="58"/>
      <c r="AG19" s="57"/>
      <c r="AH19" s="58"/>
      <c r="AI19" s="58"/>
      <c r="AJ19" s="58"/>
      <c r="AK19" s="58"/>
      <c r="AL19" s="58"/>
      <c r="AM19" s="58"/>
      <c r="AN19" s="58"/>
      <c r="AP19" s="58"/>
      <c r="AQ19" s="57"/>
      <c r="AR19" s="57"/>
      <c r="AS19" s="58"/>
    </row>
    <row r="20" ht="18.75" spans="1:45">
      <c r="AB20" s="55"/>
      <c r="AC20" s="55"/>
      <c r="AE20" s="57"/>
      <c r="AF20" s="58"/>
      <c r="AG20" s="57"/>
      <c r="AH20" s="58"/>
      <c r="AI20" s="58"/>
      <c r="AJ20" s="58"/>
      <c r="AK20" s="58"/>
      <c r="AL20" s="58"/>
      <c r="AM20" s="58"/>
      <c r="AN20" s="58"/>
      <c r="AP20" s="58"/>
      <c r="AQ20" s="57"/>
      <c r="AR20" s="57"/>
      <c r="AS20" s="58"/>
    </row>
    <row r="21" ht="18.75" spans="1:45">
      <c r="AB21" s="55"/>
      <c r="AC21" s="55"/>
      <c r="AE21" s="57"/>
      <c r="AF21" s="58"/>
      <c r="AG21" s="57"/>
      <c r="AH21" s="58"/>
      <c r="AI21" s="58"/>
      <c r="AJ21" s="58"/>
      <c r="AK21" s="58"/>
      <c r="AL21" s="58"/>
      <c r="AM21" s="58"/>
      <c r="AN21" s="58"/>
      <c r="AP21" s="58"/>
      <c r="AQ21" s="57"/>
      <c r="AR21" s="57"/>
      <c r="AS21" s="58"/>
    </row>
    <row r="22" ht="18.75" spans="1:45">
      <c r="AB22" s="55"/>
      <c r="AC22" s="55"/>
      <c r="AE22" s="57"/>
      <c r="AF22" s="58"/>
      <c r="AG22" s="57"/>
      <c r="AH22" s="58"/>
      <c r="AI22" s="58"/>
      <c r="AJ22" s="58"/>
      <c r="AK22" s="58"/>
      <c r="AL22" s="58"/>
      <c r="AM22" s="58"/>
      <c r="AN22" s="58"/>
      <c r="AP22" s="58"/>
      <c r="AQ22" s="57"/>
      <c r="AR22" s="57"/>
      <c r="AS22" s="58"/>
    </row>
    <row r="23" ht="18.75" spans="1:45">
      <c r="AB23" s="55"/>
      <c r="AC23" s="55"/>
      <c r="AE23" s="57"/>
      <c r="AF23" s="58"/>
      <c r="AG23" s="57"/>
      <c r="AH23" s="58"/>
      <c r="AI23" s="58"/>
      <c r="AJ23" s="58"/>
      <c r="AK23" s="58"/>
      <c r="AL23" s="58"/>
      <c r="AM23" s="58"/>
      <c r="AN23" s="58"/>
      <c r="AP23" s="58"/>
      <c r="AQ23" s="57"/>
      <c r="AR23" s="57"/>
      <c r="AS23" s="58"/>
    </row>
    <row r="24" ht="18.75" spans="1:45">
      <c r="AB24" s="55"/>
      <c r="AC24" s="55"/>
      <c r="AE24" s="57"/>
      <c r="AF24" s="58"/>
      <c r="AG24" s="57"/>
      <c r="AH24" s="58"/>
      <c r="AI24" s="58"/>
      <c r="AJ24" s="58"/>
      <c r="AK24" s="58"/>
      <c r="AL24" s="58"/>
      <c r="AM24" s="58"/>
      <c r="AN24" s="58"/>
      <c r="AP24" s="58"/>
      <c r="AQ24" s="57"/>
      <c r="AR24" s="57"/>
      <c r="AS24" s="58"/>
    </row>
    <row r="25" ht="18.75" spans="1:45">
      <c r="AB25" s="55"/>
      <c r="AC25" s="55"/>
      <c r="AE25" s="57"/>
      <c r="AF25" s="58"/>
      <c r="AG25" s="57"/>
      <c r="AH25" s="58"/>
      <c r="AI25" s="58"/>
      <c r="AJ25" s="58"/>
      <c r="AK25" s="58"/>
      <c r="AL25" s="58"/>
      <c r="AM25" s="58"/>
      <c r="AN25" s="58"/>
      <c r="AP25" s="58"/>
      <c r="AQ25" s="57"/>
      <c r="AR25" s="57"/>
      <c r="AS25" s="58"/>
    </row>
    <row r="26" ht="18.75" spans="1:45">
      <c r="AB26" s="55"/>
      <c r="AC26" s="55"/>
      <c r="AE26" s="57"/>
      <c r="AF26" s="58"/>
      <c r="AG26" s="57"/>
      <c r="AH26" s="58"/>
      <c r="AI26" s="58"/>
      <c r="AJ26" s="58"/>
      <c r="AK26" s="58"/>
      <c r="AL26" s="58"/>
      <c r="AM26" s="58"/>
      <c r="AN26" s="58"/>
      <c r="AP26" s="58"/>
      <c r="AQ26" s="57"/>
      <c r="AR26" s="57"/>
      <c r="AS26" s="58"/>
    </row>
    <row r="27" ht="18.75" spans="1:45">
      <c r="AB27" s="55"/>
      <c r="AC27" s="55"/>
      <c r="AE27" s="57"/>
      <c r="AF27" s="58"/>
      <c r="AG27" s="57"/>
      <c r="AH27" s="58"/>
      <c r="AI27" s="58"/>
      <c r="AJ27" s="58"/>
      <c r="AK27" s="58"/>
      <c r="AL27" s="58"/>
      <c r="AM27" s="58"/>
      <c r="AN27" s="58"/>
      <c r="AP27" s="58"/>
      <c r="AQ27" s="57"/>
      <c r="AR27" s="57"/>
      <c r="AS27" s="58"/>
    </row>
    <row r="28" ht="18.75" spans="1:45">
      <c r="AB28" s="55"/>
      <c r="AC28" s="55"/>
      <c r="AE28" s="57"/>
      <c r="AF28" s="58"/>
      <c r="AG28" s="57"/>
      <c r="AH28" s="58"/>
      <c r="AI28" s="58"/>
      <c r="AJ28" s="58"/>
      <c r="AK28" s="58"/>
      <c r="AL28" s="58"/>
      <c r="AM28" s="58"/>
      <c r="AN28" s="58"/>
      <c r="AP28" s="58"/>
      <c r="AQ28" s="57"/>
      <c r="AR28" s="57"/>
      <c r="AS28" s="58"/>
    </row>
    <row r="29" ht="18.75" spans="1:45">
      <c r="AB29" s="55"/>
      <c r="AC29" s="55"/>
      <c r="AE29" s="57"/>
      <c r="AF29" s="58"/>
      <c r="AG29" s="57"/>
      <c r="AH29" s="58"/>
      <c r="AI29" s="58"/>
      <c r="AJ29" s="58"/>
      <c r="AK29" s="58"/>
      <c r="AL29" s="58"/>
      <c r="AM29" s="58"/>
      <c r="AN29" s="58"/>
      <c r="AP29" s="58"/>
      <c r="AQ29" s="57"/>
      <c r="AR29" s="57"/>
      <c r="AS29" s="58"/>
    </row>
    <row r="30" ht="18.75" spans="1:45">
      <c r="AB30" s="55"/>
      <c r="AC30" s="55"/>
      <c r="AE30" s="57"/>
      <c r="AF30" s="58"/>
      <c r="AG30" s="57"/>
      <c r="AH30" s="58"/>
      <c r="AI30" s="58"/>
      <c r="AJ30" s="58"/>
      <c r="AK30" s="58"/>
      <c r="AL30" s="58"/>
      <c r="AM30" s="58"/>
      <c r="AN30" s="58"/>
      <c r="AP30" s="58"/>
      <c r="AQ30" s="57"/>
      <c r="AR30" s="57"/>
      <c r="AS30" s="58"/>
    </row>
    <row r="31" ht="18.75" spans="1:45">
      <c r="AB31" s="55"/>
      <c r="AC31" s="55"/>
      <c r="AE31" s="57"/>
      <c r="AF31" s="58"/>
      <c r="AG31" s="57"/>
      <c r="AH31" s="58"/>
      <c r="AI31" s="58"/>
      <c r="AJ31" s="58"/>
      <c r="AK31" s="58"/>
      <c r="AL31" s="58"/>
      <c r="AM31" s="58"/>
      <c r="AN31" s="58"/>
      <c r="AP31" s="58"/>
      <c r="AQ31" s="57"/>
      <c r="AR31" s="57"/>
      <c r="AS31" s="58"/>
    </row>
    <row r="32" ht="18.75" spans="1:45">
      <c r="AB32" s="55"/>
      <c r="AC32" s="55"/>
      <c r="AE32" s="57"/>
      <c r="AF32" s="58"/>
      <c r="AG32" s="57"/>
      <c r="AH32" s="58"/>
      <c r="AI32" s="58"/>
      <c r="AJ32" s="58"/>
      <c r="AK32" s="58"/>
      <c r="AL32" s="58"/>
      <c r="AM32" s="58"/>
      <c r="AN32" s="58"/>
      <c r="AP32" s="58"/>
      <c r="AQ32" s="57"/>
      <c r="AR32" s="57"/>
      <c r="AS32" s="58"/>
    </row>
    <row r="33" ht="18.75" spans="28:45">
      <c r="AB33" s="55"/>
      <c r="AC33" s="55"/>
      <c r="AE33" s="57"/>
      <c r="AF33" s="58"/>
      <c r="AG33" s="57"/>
      <c r="AH33" s="58"/>
      <c r="AI33" s="58"/>
      <c r="AJ33" s="58"/>
      <c r="AK33" s="58"/>
      <c r="AL33" s="58"/>
      <c r="AM33" s="58"/>
      <c r="AN33" s="58"/>
      <c r="AP33" s="58"/>
      <c r="AQ33" s="57"/>
      <c r="AR33" s="57"/>
      <c r="AS33" s="58"/>
    </row>
    <row r="34" ht="18.75" spans="28:45">
      <c r="AB34" s="55"/>
      <c r="AC34" s="55"/>
      <c r="AE34" s="57"/>
      <c r="AF34" s="58"/>
      <c r="AG34" s="57"/>
      <c r="AH34" s="58"/>
      <c r="AI34" s="58"/>
      <c r="AJ34" s="58"/>
      <c r="AK34" s="58"/>
      <c r="AL34" s="58"/>
      <c r="AM34" s="58"/>
      <c r="AN34" s="58"/>
      <c r="AP34" s="58"/>
      <c r="AQ34" s="57"/>
      <c r="AR34" s="57"/>
      <c r="AS34" s="58"/>
    </row>
    <row r="35" ht="18.75" spans="28:45">
      <c r="AB35" s="55"/>
      <c r="AC35" s="55"/>
      <c r="AE35" s="57"/>
      <c r="AF35" s="58"/>
      <c r="AG35" s="57"/>
      <c r="AH35" s="58"/>
      <c r="AI35" s="58"/>
      <c r="AJ35" s="58"/>
      <c r="AK35" s="58"/>
      <c r="AL35" s="58"/>
      <c r="AM35" s="58"/>
      <c r="AN35" s="58"/>
      <c r="AP35" s="58"/>
      <c r="AQ35" s="57"/>
      <c r="AR35" s="57"/>
      <c r="AS35" s="58"/>
    </row>
    <row r="36" ht="18.75" spans="28:45">
      <c r="AB36" s="55"/>
      <c r="AC36" s="55"/>
      <c r="AE36" s="57"/>
      <c r="AF36" s="58"/>
      <c r="AG36" s="57"/>
      <c r="AH36" s="58"/>
      <c r="AI36" s="58"/>
      <c r="AJ36" s="58"/>
      <c r="AK36" s="58"/>
      <c r="AL36" s="58"/>
      <c r="AM36" s="58"/>
      <c r="AN36" s="58"/>
      <c r="AP36" s="58"/>
      <c r="AQ36" s="57"/>
      <c r="AR36" s="57"/>
      <c r="AS36" s="58"/>
    </row>
    <row r="37" ht="18.75" spans="28:45">
      <c r="AB37" s="55"/>
      <c r="AC37" s="55"/>
      <c r="AE37" s="57"/>
      <c r="AF37" s="58"/>
      <c r="AG37" s="57"/>
      <c r="AH37" s="58"/>
      <c r="AI37" s="58"/>
      <c r="AJ37" s="58"/>
      <c r="AK37" s="58"/>
      <c r="AL37" s="58"/>
      <c r="AM37" s="58"/>
      <c r="AN37" s="58"/>
      <c r="AP37" s="58"/>
      <c r="AQ37" s="57"/>
      <c r="AR37" s="57"/>
      <c r="AS37" s="58"/>
    </row>
    <row r="38" ht="18.75" spans="28:45">
      <c r="AB38" s="55"/>
      <c r="AC38" s="55"/>
      <c r="AE38" s="57"/>
      <c r="AF38" s="58"/>
      <c r="AG38" s="57"/>
      <c r="AH38" s="58"/>
      <c r="AI38" s="58"/>
      <c r="AJ38" s="58"/>
      <c r="AK38" s="58"/>
      <c r="AL38" s="58"/>
      <c r="AM38" s="58"/>
      <c r="AN38" s="58"/>
      <c r="AP38" s="58"/>
      <c r="AQ38" s="57"/>
      <c r="AR38" s="57"/>
      <c r="AS38" s="58"/>
    </row>
    <row r="39" ht="18.75" spans="28:45">
      <c r="AB39" s="55"/>
      <c r="AC39" s="55"/>
      <c r="AE39" s="57"/>
      <c r="AF39" s="58"/>
      <c r="AG39" s="57"/>
      <c r="AH39" s="58"/>
      <c r="AI39" s="58"/>
      <c r="AJ39" s="58"/>
      <c r="AK39" s="58"/>
      <c r="AL39" s="58"/>
      <c r="AM39" s="58"/>
      <c r="AN39" s="58"/>
      <c r="AP39" s="58"/>
      <c r="AQ39" s="57"/>
      <c r="AR39" s="57"/>
      <c r="AS39" s="58"/>
    </row>
    <row r="40" ht="18.75" spans="28:45">
      <c r="AB40" s="55"/>
      <c r="AC40" s="55"/>
      <c r="AE40" s="57"/>
      <c r="AF40" s="58"/>
      <c r="AG40" s="57"/>
      <c r="AH40" s="58"/>
      <c r="AI40" s="58"/>
      <c r="AJ40" s="58"/>
      <c r="AK40" s="58"/>
      <c r="AL40" s="58"/>
      <c r="AM40" s="58"/>
      <c r="AN40" s="58"/>
      <c r="AP40" s="58"/>
      <c r="AQ40" s="57"/>
      <c r="AR40" s="57"/>
      <c r="AS40" s="58"/>
    </row>
    <row r="41" ht="18.75" spans="28:45">
      <c r="AB41" s="55"/>
      <c r="AC41" s="55"/>
      <c r="AE41" s="57"/>
      <c r="AF41" s="58"/>
      <c r="AG41" s="57"/>
      <c r="AH41" s="58"/>
      <c r="AI41" s="58"/>
      <c r="AJ41" s="58"/>
      <c r="AK41" s="58"/>
      <c r="AL41" s="58"/>
      <c r="AM41" s="58"/>
      <c r="AN41" s="58"/>
      <c r="AP41" s="58"/>
      <c r="AQ41" s="57"/>
      <c r="AR41" s="57"/>
      <c r="AS41" s="58"/>
    </row>
    <row r="42" ht="18.75" spans="28:45">
      <c r="AB42" s="55"/>
      <c r="AC42" s="55"/>
      <c r="AE42" s="57"/>
      <c r="AF42" s="58"/>
      <c r="AG42" s="57"/>
      <c r="AH42" s="58"/>
      <c r="AI42" s="58"/>
      <c r="AJ42" s="58"/>
      <c r="AK42" s="58"/>
      <c r="AL42" s="58"/>
      <c r="AM42" s="58"/>
      <c r="AN42" s="58"/>
      <c r="AP42" s="58"/>
      <c r="AQ42" s="57"/>
      <c r="AR42" s="57"/>
      <c r="AS42" s="58"/>
    </row>
    <row r="43" ht="18.75" spans="28:45">
      <c r="AB43" s="55"/>
      <c r="AC43" s="55"/>
      <c r="AE43" s="57"/>
      <c r="AF43" s="58"/>
      <c r="AG43" s="57"/>
      <c r="AH43" s="58"/>
      <c r="AI43" s="58"/>
      <c r="AJ43" s="58"/>
      <c r="AK43" s="58"/>
      <c r="AL43" s="58"/>
      <c r="AM43" s="58"/>
      <c r="AN43" s="58"/>
      <c r="AP43" s="58"/>
      <c r="AQ43" s="57"/>
      <c r="AR43" s="57"/>
      <c r="AS43" s="58"/>
    </row>
    <row r="44" ht="18.75" spans="28:45">
      <c r="AB44" s="55"/>
      <c r="AC44" s="55"/>
      <c r="AE44" s="57"/>
      <c r="AF44" s="58"/>
      <c r="AG44" s="57"/>
      <c r="AH44" s="58"/>
      <c r="AI44" s="58"/>
      <c r="AJ44" s="58"/>
      <c r="AK44" s="58"/>
      <c r="AL44" s="58"/>
      <c r="AM44" s="58"/>
      <c r="AN44" s="58"/>
      <c r="AP44" s="58"/>
      <c r="AQ44" s="57"/>
      <c r="AR44" s="57"/>
      <c r="AS44" s="58"/>
    </row>
    <row r="45" ht="18.75" spans="28:45">
      <c r="AB45" s="55"/>
      <c r="AC45" s="55"/>
      <c r="AE45" s="57"/>
      <c r="AF45" s="58"/>
      <c r="AG45" s="57"/>
      <c r="AH45" s="58"/>
      <c r="AI45" s="58"/>
      <c r="AJ45" s="58"/>
      <c r="AK45" s="58"/>
      <c r="AL45" s="58"/>
      <c r="AM45" s="58"/>
      <c r="AN45" s="58"/>
      <c r="AP45" s="58"/>
      <c r="AQ45" s="57"/>
      <c r="AR45" s="57"/>
      <c r="AS45" s="58"/>
    </row>
  </sheetData>
  <autoFilter xmlns:etc="http://www.wps.cn/officeDocument/2017/etCustomData" ref="A2:AA17" etc:filterBottomFollowUsedRange="0">
    <extLst/>
  </autoFilter>
  <mergeCells count="2">
    <mergeCell ref="A1:T1"/>
    <mergeCell ref="A17:T17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AZ70"/>
  <sheetViews>
    <sheetView tabSelected="1" zoomScale="70" zoomScaleNormal="70" topLeftCell="D32" workbookViewId="0">
      <selection activeCell="M62" sqref="M62"/>
    </sheetView>
  </sheetViews>
  <sheetFormatPr defaultColWidth="9.02654867256637" defaultRowHeight="13.85"/>
  <cols>
    <col min="3" max="3" width="17.6548672566372" customWidth="1"/>
    <col min="4" max="4" width="21.1858407079646" customWidth="1"/>
    <col min="6" max="6" width="3.04424778761062" customWidth="1"/>
    <col min="7" max="7" width="9.02654867256637" hidden="1" customWidth="1"/>
    <col min="8" max="8" width="39.3628318584071" customWidth="1"/>
    <col min="9" max="9" width="42.3893805309735" customWidth="1"/>
    <col min="12" max="12" width="10.5929203539823"/>
    <col min="17" max="17" width="11.7964601769912" customWidth="1"/>
    <col min="23" max="23" width="11.8761061946903" customWidth="1"/>
  </cols>
  <sheetData>
    <row r="7" spans="3:52">
      <c r="C7" s="11"/>
      <c r="D7" s="11"/>
    </row>
    <row r="8" ht="40.5" spans="3:52">
      <c r="C8" s="10"/>
      <c r="D8" s="10"/>
      <c r="H8" s="12" t="s">
        <v>67</v>
      </c>
      <c r="I8" s="13" t="s">
        <v>68</v>
      </c>
      <c r="J8" s="14" t="s">
        <v>3</v>
      </c>
      <c r="K8" s="14" t="s">
        <v>4</v>
      </c>
      <c r="L8" s="14" t="s">
        <v>69</v>
      </c>
      <c r="M8" s="13" t="s">
        <v>5</v>
      </c>
      <c r="N8" s="15" t="s">
        <v>6</v>
      </c>
      <c r="O8" s="13" t="s">
        <v>7</v>
      </c>
      <c r="P8" s="15" t="s">
        <v>8</v>
      </c>
      <c r="Q8" s="13" t="s">
        <v>9</v>
      </c>
      <c r="R8" s="15" t="s">
        <v>10</v>
      </c>
      <c r="S8" s="15" t="s">
        <v>11</v>
      </c>
      <c r="T8" s="13" t="s">
        <v>12</v>
      </c>
      <c r="U8" s="13" t="s">
        <v>13</v>
      </c>
      <c r="V8" s="13" t="s">
        <v>14</v>
      </c>
      <c r="W8" s="13" t="s">
        <v>15</v>
      </c>
      <c r="X8" t="s">
        <v>16</v>
      </c>
      <c r="Y8" t="s">
        <v>17</v>
      </c>
      <c r="Z8" t="s">
        <v>18</v>
      </c>
      <c r="AA8" t="s">
        <v>19</v>
      </c>
      <c r="AB8" t="s">
        <v>20</v>
      </c>
      <c r="AC8" t="s">
        <v>21</v>
      </c>
      <c r="AD8" t="s">
        <v>22</v>
      </c>
      <c r="AE8" t="s">
        <v>23</v>
      </c>
      <c r="AF8" t="s">
        <v>24</v>
      </c>
      <c r="AG8" t="s">
        <v>25</v>
      </c>
      <c r="AH8" t="s">
        <v>26</v>
      </c>
      <c r="AI8" t="s">
        <v>27</v>
      </c>
      <c r="AJ8" t="s">
        <v>28</v>
      </c>
      <c r="AK8" t="s">
        <v>29</v>
      </c>
      <c r="AL8" t="s">
        <v>5</v>
      </c>
      <c r="AM8" t="s">
        <v>6</v>
      </c>
      <c r="AN8" t="s">
        <v>7</v>
      </c>
      <c r="AO8" t="s">
        <v>8</v>
      </c>
      <c r="AP8" t="s">
        <v>9</v>
      </c>
      <c r="AQ8" t="s">
        <v>10</v>
      </c>
      <c r="AR8" t="s">
        <v>11</v>
      </c>
      <c r="AS8" t="s">
        <v>12</v>
      </c>
      <c r="AT8" t="s">
        <v>13</v>
      </c>
      <c r="AU8" t="s">
        <v>14</v>
      </c>
      <c r="AV8" t="s">
        <v>15</v>
      </c>
      <c r="AW8" t="s">
        <v>16</v>
      </c>
      <c r="AX8" t="s">
        <v>17</v>
      </c>
      <c r="AY8" t="s">
        <v>18</v>
      </c>
      <c r="AZ8" t="s">
        <v>21</v>
      </c>
    </row>
    <row r="9" spans="3:52">
      <c r="C9" s="10"/>
      <c r="D9" s="10"/>
      <c r="H9" s="16" t="s">
        <v>30</v>
      </c>
      <c r="I9" s="12" t="s">
        <v>31</v>
      </c>
      <c r="J9" s="17">
        <v>120.991551</v>
      </c>
      <c r="K9" s="17">
        <v>30.094283</v>
      </c>
      <c r="L9" s="18">
        <v>46157</v>
      </c>
      <c r="M9" s="12" t="s">
        <v>32</v>
      </c>
      <c r="N9" s="12">
        <v>60</v>
      </c>
      <c r="O9" s="12" t="s">
        <v>33</v>
      </c>
      <c r="P9" s="19">
        <v>1.34</v>
      </c>
      <c r="Q9" s="13" t="s">
        <v>34</v>
      </c>
      <c r="R9" s="12" t="s">
        <v>35</v>
      </c>
      <c r="S9" s="12" t="s">
        <v>36</v>
      </c>
      <c r="T9" s="12" t="s">
        <v>37</v>
      </c>
      <c r="U9" s="12" t="s">
        <v>38</v>
      </c>
      <c r="V9" s="12" t="s">
        <v>39</v>
      </c>
      <c r="W9" s="19">
        <v>6.39</v>
      </c>
      <c r="X9">
        <v>30.5</v>
      </c>
      <c r="Y9">
        <v>29.6</v>
      </c>
      <c r="Z9">
        <v>236</v>
      </c>
      <c r="AA9">
        <v>0.7</v>
      </c>
      <c r="AB9" t="s">
        <v>40</v>
      </c>
      <c r="AC9" t="s">
        <v>41</v>
      </c>
      <c r="AE9">
        <v>0.08</v>
      </c>
      <c r="AF9">
        <v>0.094</v>
      </c>
      <c r="AG9">
        <v>5.41</v>
      </c>
      <c r="AH9">
        <v>25.1</v>
      </c>
      <c r="AI9">
        <v>64</v>
      </c>
      <c r="AJ9">
        <v>0.883351664127476</v>
      </c>
      <c r="AK9" t="s">
        <v>70</v>
      </c>
      <c r="AL9">
        <v>0.8</v>
      </c>
      <c r="AM9">
        <v>0.761450330306104</v>
      </c>
      <c r="AN9">
        <v>1</v>
      </c>
      <c r="AO9">
        <v>0.96447507977472</v>
      </c>
      <c r="AP9">
        <v>1</v>
      </c>
      <c r="AQ9">
        <v>0.8</v>
      </c>
      <c r="AR9">
        <v>0.85</v>
      </c>
      <c r="AS9">
        <v>1</v>
      </c>
      <c r="AT9">
        <v>0.6</v>
      </c>
      <c r="AU9">
        <v>0.8</v>
      </c>
      <c r="AV9">
        <v>0.962249862875427</v>
      </c>
      <c r="AW9">
        <v>0.981978606081663</v>
      </c>
      <c r="AX9">
        <v>0.97235748363289</v>
      </c>
      <c r="AY9">
        <v>1</v>
      </c>
      <c r="AZ9">
        <v>1</v>
      </c>
    </row>
    <row r="10" spans="3:52">
      <c r="C10" s="10"/>
      <c r="D10" s="10"/>
      <c r="H10" s="12"/>
      <c r="I10" s="13"/>
      <c r="J10" s="17"/>
      <c r="K10" s="17"/>
      <c r="L10" s="18"/>
      <c r="M10" s="12"/>
      <c r="N10" s="15"/>
      <c r="O10" s="13"/>
      <c r="P10" s="19"/>
      <c r="Q10" s="13"/>
      <c r="R10" s="15"/>
      <c r="S10" s="15"/>
      <c r="T10" s="12"/>
      <c r="U10" s="12"/>
      <c r="V10" s="12"/>
      <c r="W10" s="19"/>
    </row>
    <row r="11" spans="3:52">
      <c r="C11" s="10"/>
      <c r="D11" s="10"/>
      <c r="H11" s="16"/>
      <c r="I11" s="16"/>
      <c r="J11" s="17"/>
      <c r="K11" s="17"/>
      <c r="L11" s="12"/>
      <c r="M11" s="12"/>
      <c r="N11" s="12"/>
      <c r="O11" s="20"/>
      <c r="P11" s="19"/>
      <c r="Q11" s="12"/>
      <c r="R11" s="12"/>
      <c r="S11" s="12"/>
      <c r="T11" s="12"/>
      <c r="U11" s="12"/>
      <c r="V11" s="12"/>
      <c r="W11" s="19"/>
    </row>
    <row r="12" spans="3:52">
      <c r="C12" s="10"/>
      <c r="D12" s="10"/>
      <c r="H12" s="12"/>
      <c r="I12" s="13"/>
      <c r="J12" s="17"/>
      <c r="K12" s="17"/>
      <c r="L12" s="12"/>
      <c r="M12" s="12"/>
      <c r="N12" s="15"/>
      <c r="O12" s="13"/>
      <c r="P12" s="19"/>
      <c r="Q12" s="13"/>
      <c r="R12" s="15"/>
      <c r="S12" s="15"/>
      <c r="T12" s="12"/>
      <c r="U12" s="12"/>
      <c r="V12" s="12"/>
      <c r="W12" s="19"/>
    </row>
    <row r="13" spans="3:52">
      <c r="C13" s="10"/>
      <c r="D13" s="10"/>
      <c r="H13" s="12"/>
      <c r="I13" s="13"/>
      <c r="J13" s="17"/>
      <c r="K13" s="17"/>
      <c r="L13" s="12"/>
      <c r="M13" s="12"/>
      <c r="N13" s="15"/>
      <c r="O13" s="13"/>
      <c r="P13" s="19"/>
      <c r="Q13" s="13"/>
      <c r="R13" s="15"/>
      <c r="S13" s="15"/>
      <c r="T13" s="12"/>
      <c r="U13" s="12"/>
      <c r="V13" s="12"/>
      <c r="W13" s="19"/>
    </row>
    <row r="14" spans="3:52">
      <c r="C14" s="10"/>
      <c r="D14" s="10"/>
      <c r="H14" s="12"/>
      <c r="I14" s="13"/>
      <c r="J14" s="17"/>
      <c r="K14" s="17"/>
      <c r="L14" s="12"/>
      <c r="M14" s="12"/>
      <c r="N14" s="15"/>
      <c r="O14" s="13"/>
      <c r="P14" s="19"/>
      <c r="Q14" s="13"/>
      <c r="R14" s="15"/>
      <c r="S14" s="15"/>
      <c r="T14" s="12"/>
      <c r="U14" s="12"/>
      <c r="V14" s="12"/>
      <c r="W14" s="19"/>
    </row>
    <row r="15" spans="3:52">
      <c r="C15" s="10"/>
      <c r="D15" s="10"/>
      <c r="H15" s="12"/>
      <c r="I15" s="13"/>
      <c r="J15" s="17"/>
      <c r="K15" s="17"/>
      <c r="L15" s="12"/>
      <c r="M15" s="12"/>
      <c r="N15" s="15"/>
      <c r="O15" s="13"/>
      <c r="P15" s="19"/>
      <c r="Q15" s="13"/>
      <c r="R15" s="15"/>
      <c r="S15" s="15"/>
      <c r="T15" s="12"/>
      <c r="U15" s="12"/>
      <c r="V15" s="12"/>
      <c r="W15" s="19"/>
    </row>
    <row r="16" spans="3:52">
      <c r="C16" s="10"/>
      <c r="D16" s="10"/>
      <c r="H16" s="12"/>
      <c r="I16" s="13"/>
      <c r="J16" s="17"/>
      <c r="K16" s="17"/>
      <c r="L16" s="12"/>
      <c r="M16" s="12"/>
      <c r="N16" s="15"/>
      <c r="O16" s="13"/>
      <c r="P16" s="19"/>
      <c r="Q16" s="13"/>
      <c r="R16" s="15"/>
      <c r="S16" s="15"/>
      <c r="T16" s="12"/>
      <c r="U16" s="12"/>
      <c r="V16" s="12"/>
      <c r="W16" s="19"/>
    </row>
    <row r="17" spans="3:23">
      <c r="C17" s="10"/>
      <c r="D17" s="10"/>
      <c r="H17" s="12"/>
      <c r="I17" s="13"/>
      <c r="J17" s="17"/>
      <c r="K17" s="17"/>
      <c r="L17" s="12"/>
      <c r="M17" s="12"/>
      <c r="N17" s="15"/>
      <c r="O17" s="13"/>
      <c r="P17" s="19"/>
      <c r="Q17" s="13"/>
      <c r="R17" s="15"/>
      <c r="S17" s="15"/>
      <c r="T17" s="12"/>
      <c r="U17" s="12"/>
      <c r="V17" s="12"/>
      <c r="W17" s="19"/>
    </row>
    <row r="18" spans="3:23">
      <c r="C18" s="10"/>
      <c r="D18" s="10"/>
    </row>
    <row r="19" spans="3:23">
      <c r="C19" s="10"/>
      <c r="D19" s="10"/>
    </row>
    <row r="26" spans="3:23">
      <c r="H26" s="12" t="s">
        <v>67</v>
      </c>
      <c r="I26" s="16" t="s">
        <v>30</v>
      </c>
    </row>
    <row r="27" spans="3:23">
      <c r="H27" s="13" t="s">
        <v>68</v>
      </c>
      <c r="I27" s="12" t="s">
        <v>31</v>
      </c>
    </row>
    <row r="28" spans="3:23">
      <c r="H28" s="14" t="s">
        <v>3</v>
      </c>
      <c r="I28" s="17">
        <v>120.991551</v>
      </c>
    </row>
    <row r="29" spans="3:23">
      <c r="H29" s="14" t="s">
        <v>4</v>
      </c>
      <c r="I29" s="17">
        <v>30.094283</v>
      </c>
    </row>
    <row r="30" spans="3:23">
      <c r="H30" s="14" t="s">
        <v>69</v>
      </c>
      <c r="I30" s="18">
        <v>46157</v>
      </c>
    </row>
    <row r="31" spans="3:23">
      <c r="H31" s="13" t="s">
        <v>5</v>
      </c>
      <c r="I31" s="12" t="s">
        <v>32</v>
      </c>
    </row>
    <row r="32" ht="40.5" spans="3:23">
      <c r="H32" s="15" t="s">
        <v>6</v>
      </c>
      <c r="I32" s="12">
        <v>60</v>
      </c>
    </row>
    <row r="33" spans="8:9">
      <c r="H33" s="13" t="s">
        <v>7</v>
      </c>
      <c r="I33" s="12" t="s">
        <v>33</v>
      </c>
    </row>
    <row r="34" ht="27" spans="8:9">
      <c r="H34" s="15" t="s">
        <v>8</v>
      </c>
      <c r="I34" s="19">
        <v>1.34</v>
      </c>
    </row>
    <row r="35" spans="8:9">
      <c r="H35" s="13" t="s">
        <v>9</v>
      </c>
      <c r="I35" s="13" t="s">
        <v>34</v>
      </c>
    </row>
    <row r="36" ht="27" spans="8:9">
      <c r="H36" s="15" t="s">
        <v>10</v>
      </c>
      <c r="I36" s="12" t="s">
        <v>35</v>
      </c>
    </row>
    <row r="37" ht="40.5" spans="8:9">
      <c r="H37" s="15" t="s">
        <v>11</v>
      </c>
      <c r="I37" s="12" t="s">
        <v>36</v>
      </c>
    </row>
    <row r="38" spans="8:9">
      <c r="H38" s="13" t="s">
        <v>12</v>
      </c>
      <c r="I38" s="12" t="s">
        <v>37</v>
      </c>
    </row>
    <row r="39" spans="8:9">
      <c r="H39" s="13" t="s">
        <v>13</v>
      </c>
      <c r="I39" s="12" t="s">
        <v>38</v>
      </c>
    </row>
    <row r="40" spans="8:9">
      <c r="H40" s="13" t="s">
        <v>14</v>
      </c>
      <c r="I40" s="12" t="s">
        <v>39</v>
      </c>
    </row>
    <row r="41" spans="8:9">
      <c r="H41" s="13" t="s">
        <v>15</v>
      </c>
      <c r="I41" s="19">
        <v>6.39</v>
      </c>
    </row>
    <row r="42" spans="8:9">
      <c r="H42" s="21" t="s">
        <v>16</v>
      </c>
      <c r="I42" s="21">
        <v>30.5</v>
      </c>
    </row>
    <row r="43" spans="8:9">
      <c r="H43" s="21" t="s">
        <v>17</v>
      </c>
      <c r="I43" s="21">
        <v>29.6</v>
      </c>
    </row>
    <row r="44" spans="8:9">
      <c r="H44" s="21" t="s">
        <v>18</v>
      </c>
      <c r="I44" s="21">
        <v>236</v>
      </c>
    </row>
    <row r="45" spans="8:9">
      <c r="H45" s="21" t="s">
        <v>19</v>
      </c>
      <c r="I45" s="21">
        <v>0.7</v>
      </c>
    </row>
    <row r="46" spans="8:9">
      <c r="H46" s="21" t="s">
        <v>20</v>
      </c>
      <c r="I46" s="21" t="s">
        <v>40</v>
      </c>
    </row>
    <row r="47" spans="8:9">
      <c r="H47" s="21" t="s">
        <v>21</v>
      </c>
      <c r="I47" s="21" t="s">
        <v>41</v>
      </c>
    </row>
    <row r="48" spans="8:9">
      <c r="H48" s="21" t="s">
        <v>22</v>
      </c>
      <c r="I48" s="21"/>
    </row>
    <row r="49" spans="8:9">
      <c r="H49" s="21" t="s">
        <v>23</v>
      </c>
      <c r="I49" s="21">
        <v>0.08</v>
      </c>
    </row>
    <row r="50" spans="8:9">
      <c r="H50" s="21" t="s">
        <v>24</v>
      </c>
      <c r="I50" s="21">
        <v>0.094</v>
      </c>
    </row>
    <row r="51" spans="8:9">
      <c r="H51" s="21" t="s">
        <v>25</v>
      </c>
      <c r="I51" s="21">
        <v>5.41</v>
      </c>
    </row>
    <row r="52" spans="8:9">
      <c r="H52" s="21" t="s">
        <v>26</v>
      </c>
      <c r="I52" s="21">
        <v>25.1</v>
      </c>
    </row>
    <row r="53" spans="8:9">
      <c r="H53" s="21" t="s">
        <v>27</v>
      </c>
      <c r="I53" s="21">
        <v>64</v>
      </c>
    </row>
    <row r="54" spans="8:9">
      <c r="H54" s="21" t="s">
        <v>28</v>
      </c>
      <c r="I54" s="21">
        <v>0.883351664127476</v>
      </c>
    </row>
    <row r="55" spans="8:9">
      <c r="H55" s="21" t="s">
        <v>29</v>
      </c>
      <c r="I55" s="21" t="s">
        <v>70</v>
      </c>
    </row>
    <row r="56" spans="8:9">
      <c r="H56" s="21" t="s">
        <v>5</v>
      </c>
      <c r="I56" s="21">
        <v>0.8</v>
      </c>
    </row>
    <row r="57" spans="8:9">
      <c r="H57" s="21" t="s">
        <v>6</v>
      </c>
      <c r="I57" s="21">
        <v>0.761450330306104</v>
      </c>
    </row>
    <row r="58" spans="8:9">
      <c r="H58" s="21" t="s">
        <v>7</v>
      </c>
      <c r="I58" s="21">
        <v>1</v>
      </c>
    </row>
    <row r="59" spans="8:9">
      <c r="H59" s="21" t="s">
        <v>8</v>
      </c>
      <c r="I59" s="21">
        <v>0.96447507977472</v>
      </c>
    </row>
    <row r="60" spans="8:9">
      <c r="H60" s="21" t="s">
        <v>9</v>
      </c>
      <c r="I60" s="21">
        <v>1</v>
      </c>
    </row>
    <row r="61" spans="8:9">
      <c r="H61" s="21" t="s">
        <v>10</v>
      </c>
      <c r="I61" s="21">
        <v>0.8</v>
      </c>
    </row>
    <row r="62" spans="8:9">
      <c r="H62" s="21" t="s">
        <v>11</v>
      </c>
      <c r="I62" s="21">
        <v>0.85</v>
      </c>
    </row>
    <row r="63" spans="8:9">
      <c r="H63" s="21" t="s">
        <v>12</v>
      </c>
      <c r="I63" s="21">
        <v>1</v>
      </c>
    </row>
    <row r="64" spans="8:9">
      <c r="H64" s="21" t="s">
        <v>13</v>
      </c>
      <c r="I64" s="21">
        <v>0.6</v>
      </c>
    </row>
    <row r="65" spans="8:9">
      <c r="H65" s="21" t="s">
        <v>14</v>
      </c>
      <c r="I65" s="21">
        <v>0.8</v>
      </c>
    </row>
    <row r="66" spans="8:9">
      <c r="H66" s="21" t="s">
        <v>15</v>
      </c>
      <c r="I66" s="21">
        <v>0.962249862875427</v>
      </c>
    </row>
    <row r="67" spans="8:9">
      <c r="H67" s="21" t="s">
        <v>16</v>
      </c>
      <c r="I67" s="21">
        <v>0.981978606081663</v>
      </c>
    </row>
    <row r="68" spans="8:9">
      <c r="H68" s="21" t="s">
        <v>17</v>
      </c>
      <c r="I68" s="21">
        <v>0.97235748363289</v>
      </c>
    </row>
    <row r="69" spans="8:9">
      <c r="H69" s="21" t="s">
        <v>18</v>
      </c>
      <c r="I69" s="21">
        <v>1</v>
      </c>
    </row>
    <row r="70" spans="8:9">
      <c r="H70" s="21" t="s">
        <v>21</v>
      </c>
      <c r="I70" s="2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1:N43"/>
  <sheetViews>
    <sheetView topLeftCell="A54" workbookViewId="0">
      <selection activeCell="K30" sqref="K30"/>
    </sheetView>
  </sheetViews>
  <sheetFormatPr defaultColWidth="9.02654867256637" defaultRowHeight="13.85"/>
  <cols>
    <col min="11" max="11" width="28.0088495575221" customWidth="1"/>
    <col min="12" max="12" width="17.7256637168142" customWidth="1"/>
    <col min="13" max="13" width="39.9557522123894" customWidth="1"/>
    <col min="14" max="14" width="17.7345132743363" customWidth="1"/>
  </cols>
  <sheetData>
    <row r="11" ht="14.6"/>
    <row r="12" ht="28.5" customHeight="1" spans="11:14">
      <c r="K12" s="1" t="s">
        <v>1</v>
      </c>
      <c r="L12" s="2"/>
      <c r="M12" s="3"/>
      <c r="N12" s="4"/>
    </row>
    <row r="13" ht="22.5" customHeight="1" spans="11:14">
      <c r="K13" s="1" t="s">
        <v>68</v>
      </c>
      <c r="L13" s="5"/>
      <c r="M13" s="1" t="s">
        <v>71</v>
      </c>
      <c r="N13" s="5"/>
    </row>
    <row r="14" ht="22.5" customHeight="1" spans="11:14">
      <c r="K14" s="1" t="s">
        <v>72</v>
      </c>
      <c r="L14" s="2" t="s">
        <v>73</v>
      </c>
      <c r="M14" s="3"/>
      <c r="N14" s="4"/>
    </row>
    <row r="15" ht="22.5" customHeight="1" spans="11:14">
      <c r="K15" s="1" t="s">
        <v>74</v>
      </c>
      <c r="L15" s="2" t="s">
        <v>75</v>
      </c>
      <c r="M15" s="3"/>
      <c r="N15" s="4"/>
    </row>
    <row r="16" ht="22.5" customHeight="1" spans="11:14">
      <c r="K16" s="1" t="s">
        <v>76</v>
      </c>
      <c r="L16" s="5"/>
      <c r="M16" s="1" t="s">
        <v>77</v>
      </c>
      <c r="N16" s="5"/>
    </row>
    <row r="17" ht="22.5" customHeight="1" spans="8:14">
      <c r="K17" s="1" t="s">
        <v>78</v>
      </c>
      <c r="L17" s="5"/>
      <c r="M17" s="1" t="s">
        <v>79</v>
      </c>
      <c r="N17" s="5"/>
    </row>
    <row r="18" ht="22.5" customHeight="1" spans="8:14">
      <c r="H18" t="s">
        <v>80</v>
      </c>
      <c r="K18" s="1" t="s">
        <v>81</v>
      </c>
      <c r="L18" s="5"/>
      <c r="M18" s="1" t="s">
        <v>82</v>
      </c>
      <c r="N18" s="5"/>
    </row>
    <row r="19" ht="22.5" customHeight="1" spans="8:14">
      <c r="K19" s="1" t="s">
        <v>83</v>
      </c>
      <c r="L19" s="5"/>
      <c r="M19" s="1" t="s">
        <v>84</v>
      </c>
      <c r="N19" s="5"/>
    </row>
    <row r="20" ht="22.5" customHeight="1" spans="8:14">
      <c r="K20" s="1" t="s">
        <v>85</v>
      </c>
      <c r="L20" s="5"/>
      <c r="M20" s="1" t="s">
        <v>86</v>
      </c>
      <c r="N20" s="5"/>
    </row>
    <row r="21" ht="22.5" customHeight="1" spans="8:14">
      <c r="K21" s="1" t="s">
        <v>5</v>
      </c>
      <c r="L21" s="5"/>
      <c r="M21" s="1" t="s">
        <v>9</v>
      </c>
      <c r="N21" s="5"/>
    </row>
    <row r="22" ht="22.5" customHeight="1" spans="8:14">
      <c r="K22" s="1" t="s">
        <v>14</v>
      </c>
      <c r="L22" s="5"/>
      <c r="M22" s="1" t="s">
        <v>87</v>
      </c>
      <c r="N22" s="5"/>
    </row>
    <row r="23" ht="22.5" customHeight="1" spans="8:14">
      <c r="K23" s="1" t="s">
        <v>88</v>
      </c>
      <c r="L23" s="5"/>
      <c r="M23" s="1" t="s">
        <v>89</v>
      </c>
      <c r="N23" s="5"/>
    </row>
    <row r="24" ht="14.65" spans="8:14">
      <c r="K24" s="1" t="s">
        <v>90</v>
      </c>
      <c r="L24" s="1"/>
      <c r="M24" s="1" t="s">
        <v>91</v>
      </c>
      <c r="N24" s="1"/>
    </row>
    <row r="25" ht="14.65" spans="8:14">
      <c r="K25" s="1" t="s">
        <v>92</v>
      </c>
      <c r="L25" s="1"/>
      <c r="M25" s="1" t="s">
        <v>93</v>
      </c>
      <c r="N25" s="1"/>
    </row>
    <row r="32" spans="8:14">
      <c r="K32" s="6"/>
      <c r="L32" s="6"/>
      <c r="M32" s="6"/>
    </row>
    <row r="33" ht="13.9" spans="11:14">
      <c r="K33" s="7" t="s">
        <v>94</v>
      </c>
      <c r="L33" s="8"/>
      <c r="M33" s="8"/>
      <c r="N33" s="8"/>
    </row>
    <row r="34" ht="13.9" spans="11:14">
      <c r="K34" s="7" t="s">
        <v>72</v>
      </c>
      <c r="L34" s="8" t="s">
        <v>73</v>
      </c>
      <c r="M34" s="8"/>
      <c r="N34" s="8"/>
    </row>
    <row r="35" ht="13.9" spans="11:14">
      <c r="K35" s="9" t="s">
        <v>74</v>
      </c>
      <c r="L35" s="7" t="s">
        <v>95</v>
      </c>
      <c r="M35" s="8" t="s">
        <v>75</v>
      </c>
      <c r="N35" s="8"/>
    </row>
    <row r="36" ht="13.9" spans="11:14">
      <c r="K36" s="9"/>
      <c r="L36" s="7" t="s">
        <v>95</v>
      </c>
      <c r="M36" s="8" t="s">
        <v>75</v>
      </c>
      <c r="N36" s="8"/>
    </row>
    <row r="37" ht="13.9" spans="11:14">
      <c r="K37" s="9"/>
      <c r="L37" s="7" t="s">
        <v>95</v>
      </c>
      <c r="M37" s="8" t="s">
        <v>75</v>
      </c>
      <c r="N37" s="8"/>
    </row>
    <row r="38" ht="13.9" spans="11:14">
      <c r="K38" s="9" t="s">
        <v>96</v>
      </c>
      <c r="L38" s="7" t="s">
        <v>95</v>
      </c>
      <c r="M38" s="8"/>
      <c r="N38" s="8"/>
    </row>
    <row r="39" ht="13.9" spans="11:14">
      <c r="K39" s="9"/>
      <c r="L39" s="7" t="s">
        <v>95</v>
      </c>
      <c r="M39" s="8"/>
      <c r="N39" s="8"/>
    </row>
    <row r="40" ht="13.9" spans="11:14">
      <c r="K40" s="9"/>
      <c r="L40" s="7" t="s">
        <v>95</v>
      </c>
      <c r="M40" s="8"/>
      <c r="N40" s="8"/>
    </row>
    <row r="41" ht="13.9" spans="11:14">
      <c r="K41" s="7" t="s">
        <v>97</v>
      </c>
      <c r="L41" s="7"/>
      <c r="M41" s="7" t="s">
        <v>98</v>
      </c>
      <c r="N41" s="10"/>
    </row>
    <row r="42" ht="13.9" spans="11:14">
      <c r="K42" s="10" t="s">
        <v>69</v>
      </c>
      <c r="L42" s="7"/>
      <c r="M42" s="7" t="s">
        <v>99</v>
      </c>
      <c r="N42" s="10"/>
    </row>
    <row r="43" spans="11:14">
      <c r="K43" s="10" t="s">
        <v>92</v>
      </c>
      <c r="L43" s="10"/>
      <c r="M43" s="10" t="s">
        <v>93</v>
      </c>
      <c r="N43" s="10"/>
    </row>
  </sheetData>
  <mergeCells count="13">
    <mergeCell ref="L12:N12"/>
    <mergeCell ref="L14:N14"/>
    <mergeCell ref="L15:N15"/>
    <mergeCell ref="L33:N33"/>
    <mergeCell ref="L34:N34"/>
    <mergeCell ref="M35:N35"/>
    <mergeCell ref="M36:N36"/>
    <mergeCell ref="M37:N37"/>
    <mergeCell ref="M38:N38"/>
    <mergeCell ref="M39:N39"/>
    <mergeCell ref="M40:N40"/>
    <mergeCell ref="K35:K37"/>
    <mergeCell ref="K38:K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石浩</cp:lastModifiedBy>
  <dcterms:created xsi:type="dcterms:W3CDTF">2024-12-24T02:51:00Z</dcterms:created>
  <dcterms:modified xsi:type="dcterms:W3CDTF">2026-05-15T09:07:17Z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48CD75EDDE6D4CEFAC21EB4B0A9FA68E_13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